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olly\Downloads\"/>
    </mc:Choice>
  </mc:AlternateContent>
  <xr:revisionPtr revIDLastSave="0" documentId="13_ncr:1_{B0705914-74E4-49C6-94B7-49195E914A3D}" xr6:coauthVersionLast="47" xr6:coauthVersionMax="47" xr10:uidLastSave="{00000000-0000-0000-0000-000000000000}"/>
  <bookViews>
    <workbookView xWindow="-110" yWindow="-110" windowWidth="19420" windowHeight="11500" xr2:uid="{A01BB3EF-9376-4C89-8E7D-E94DEDA38C2D}"/>
  </bookViews>
  <sheets>
    <sheet name="Monthly" sheetId="11" r:id="rId1"/>
    <sheet name="Customer" sheetId="10" r:id="rId2"/>
    <sheet name="Region" sheetId="9" r:id="rId3"/>
    <sheet name="Product" sheetId="5" r:id="rId4"/>
    <sheet name="KPI'S" sheetId="8" r:id="rId5"/>
    <sheet name="Data" sheetId="1" r:id="rId6"/>
    <sheet name="Pivot Table" sheetId="7" r:id="rId7"/>
  </sheets>
  <definedNames>
    <definedName name="Slicer_category1">#N/A</definedName>
    <definedName name="Slicer_product1">#N/A</definedName>
    <definedName name="Slicer_region1">#N/A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 i="1"/>
  <c r="B26" i="7"/>
  <c r="B9" i="7"/>
  <c r="B4" i="7"/>
  <c r="E27" i="7" l="1"/>
</calcChain>
</file>

<file path=xl/sharedStrings.xml><?xml version="1.0" encoding="utf-8"?>
<sst xmlns="http://schemas.openxmlformats.org/spreadsheetml/2006/main" count="241" uniqueCount="109">
  <si>
    <t>order_id</t>
  </si>
  <si>
    <t>customer_id</t>
  </si>
  <si>
    <t>product</t>
  </si>
  <si>
    <t>category</t>
  </si>
  <si>
    <t>region</t>
  </si>
  <si>
    <t>price</t>
  </si>
  <si>
    <t>quantity</t>
  </si>
  <si>
    <t>order_date</t>
  </si>
  <si>
    <t>C001</t>
  </si>
  <si>
    <t>Laptop</t>
  </si>
  <si>
    <t>Electronics</t>
  </si>
  <si>
    <t>North</t>
  </si>
  <si>
    <t>C002</t>
  </si>
  <si>
    <t>Smartphone</t>
  </si>
  <si>
    <t>West</t>
  </si>
  <si>
    <t>C003</t>
  </si>
  <si>
    <t>Shoes</t>
  </si>
  <si>
    <t>Fashion</t>
  </si>
  <si>
    <t>South</t>
  </si>
  <si>
    <t>C004</t>
  </si>
  <si>
    <t>Watch</t>
  </si>
  <si>
    <t>Accessories</t>
  </si>
  <si>
    <t>East</t>
  </si>
  <si>
    <t>C005</t>
  </si>
  <si>
    <t>Headphones</t>
  </si>
  <si>
    <t>C006</t>
  </si>
  <si>
    <t>T-shirt</t>
  </si>
  <si>
    <t>C007</t>
  </si>
  <si>
    <t>Refrigerator</t>
  </si>
  <si>
    <t>Appliances</t>
  </si>
  <si>
    <t>C008</t>
  </si>
  <si>
    <t>Microwave</t>
  </si>
  <si>
    <t>C009</t>
  </si>
  <si>
    <t>Backpack</t>
  </si>
  <si>
    <t>C010</t>
  </si>
  <si>
    <t>Tablet</t>
  </si>
  <si>
    <t>C011</t>
  </si>
  <si>
    <t>Sofa</t>
  </si>
  <si>
    <t>Furniture</t>
  </si>
  <si>
    <t>C012</t>
  </si>
  <si>
    <t>Desk</t>
  </si>
  <si>
    <t>C013</t>
  </si>
  <si>
    <t>Camera</t>
  </si>
  <si>
    <t>C014</t>
  </si>
  <si>
    <t>Sandals</t>
  </si>
  <si>
    <t>C015</t>
  </si>
  <si>
    <t>Blender</t>
  </si>
  <si>
    <t>C016</t>
  </si>
  <si>
    <t>Keyboard</t>
  </si>
  <si>
    <t>C017</t>
  </si>
  <si>
    <t>Mouse</t>
  </si>
  <si>
    <t>C018</t>
  </si>
  <si>
    <t>Jacket</t>
  </si>
  <si>
    <t>C019</t>
  </si>
  <si>
    <t>Air Conditioner</t>
  </si>
  <si>
    <t>C020</t>
  </si>
  <si>
    <t>Books</t>
  </si>
  <si>
    <t>Stationery</t>
  </si>
  <si>
    <t>customer_name</t>
  </si>
  <si>
    <t>city</t>
  </si>
  <si>
    <t>Ayush Sharma</t>
  </si>
  <si>
    <t>Delhi</t>
  </si>
  <si>
    <t>Rohit Verma</t>
  </si>
  <si>
    <t>Mumbai</t>
  </si>
  <si>
    <t>Neha Gupta</t>
  </si>
  <si>
    <t>Bangalore</t>
  </si>
  <si>
    <t>Amit Singh</t>
  </si>
  <si>
    <t>Kolkata</t>
  </si>
  <si>
    <t>Priya Mehta</t>
  </si>
  <si>
    <t>Chennai</t>
  </si>
  <si>
    <t>Karan Patel</t>
  </si>
  <si>
    <t>Ahmedabad</t>
  </si>
  <si>
    <t>Sneha Reddy</t>
  </si>
  <si>
    <t>Hyderabad</t>
  </si>
  <si>
    <t>Vikas Yadav</t>
  </si>
  <si>
    <t>Pune</t>
  </si>
  <si>
    <t>Anjali Kapoor</t>
  </si>
  <si>
    <t>Jaipur</t>
  </si>
  <si>
    <t>Rahul Jain</t>
  </si>
  <si>
    <t>Indore</t>
  </si>
  <si>
    <t>Simran Kaur</t>
  </si>
  <si>
    <t>Chandigarh</t>
  </si>
  <si>
    <t>Arjun Nair</t>
  </si>
  <si>
    <t>Kochi</t>
  </si>
  <si>
    <t>Pooja Das</t>
  </si>
  <si>
    <t>Bhubaneswar</t>
  </si>
  <si>
    <t>Manish Tiwari</t>
  </si>
  <si>
    <t>Lucknow</t>
  </si>
  <si>
    <t>Kavita Joshi</t>
  </si>
  <si>
    <t>Dehradun</t>
  </si>
  <si>
    <t>Sachin Mishra</t>
  </si>
  <si>
    <t>Varanasi</t>
  </si>
  <si>
    <t>Divya Iyer</t>
  </si>
  <si>
    <t>Coimbatore</t>
  </si>
  <si>
    <t>Nikhil Sharma</t>
  </si>
  <si>
    <t>Nagpur</t>
  </si>
  <si>
    <t>Meera Pillai</t>
  </si>
  <si>
    <t>Trivandrum</t>
  </si>
  <si>
    <t>Rajesh Khanna</t>
  </si>
  <si>
    <t>Bhopal</t>
  </si>
  <si>
    <t>cost_price</t>
  </si>
  <si>
    <t>revenue</t>
  </si>
  <si>
    <t>Row Labels</t>
  </si>
  <si>
    <t>Grand Total</t>
  </si>
  <si>
    <t>Sum of revenue</t>
  </si>
  <si>
    <t>Count of customer_id</t>
  </si>
  <si>
    <t>Count of order_id</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</si>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</sst>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xf numFmtId="14" fontId="1" fillId="0" borderId="0" xfId="0" applyNumberFormat="1" applyFon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4" fontId="1" fillId="0" borderId="0" xfId="0" applyNumberFormat="1" applyFont="1"/>
    <xf numFmtId="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Table!PivotTable10</c:name>
    <c:fmtId val="1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Table'!$B$113</c:f>
              <c:strCache>
                <c:ptCount val="1"/>
                <c:pt idx="0">
                  <c:v>Total</c:v>
                </c:pt>
              </c:strCache>
            </c:strRef>
          </c:tx>
          <c:spPr>
            <a:ln w="28575" cap="rnd">
              <a:solidFill>
                <a:schemeClr val="accent1"/>
              </a:solidFill>
              <a:round/>
            </a:ln>
            <a:effectLst/>
          </c:spPr>
          <c:marker>
            <c:symbol val="none"/>
          </c:marker>
          <c:cat>
            <c:strRef>
              <c:f>'Pivot Table'!$A$114:$A$116</c:f>
              <c:strCache>
                <c:ptCount val="2"/>
                <c:pt idx="0">
                  <c:v>Jan</c:v>
                </c:pt>
                <c:pt idx="1">
                  <c:v>Feb</c:v>
                </c:pt>
              </c:strCache>
            </c:strRef>
          </c:cat>
          <c:val>
            <c:numRef>
              <c:f>'Pivot Table'!$B$114:$B$116</c:f>
              <c:numCache>
                <c:formatCode>General</c:formatCode>
                <c:ptCount val="2"/>
                <c:pt idx="0">
                  <c:v>183800</c:v>
                </c:pt>
                <c:pt idx="1">
                  <c:v>150400</c:v>
                </c:pt>
              </c:numCache>
            </c:numRef>
          </c:val>
          <c:smooth val="0"/>
          <c:extLst>
            <c:ext xmlns:c16="http://schemas.microsoft.com/office/drawing/2014/chart" uri="{C3380CC4-5D6E-409C-BE32-E72D297353CC}">
              <c16:uniqueId val="{00000000-547E-4A70-9EE1-0CB5B34C515D}"/>
            </c:ext>
          </c:extLst>
        </c:ser>
        <c:dLbls>
          <c:showLegendKey val="0"/>
          <c:showVal val="0"/>
          <c:showCatName val="0"/>
          <c:showSerName val="0"/>
          <c:showPercent val="0"/>
          <c:showBubbleSize val="0"/>
        </c:dLbls>
        <c:smooth val="0"/>
        <c:axId val="162166911"/>
        <c:axId val="162169823"/>
      </c:lineChart>
      <c:catAx>
        <c:axId val="16216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9823"/>
        <c:crosses val="autoZero"/>
        <c:auto val="1"/>
        <c:lblAlgn val="ctr"/>
        <c:lblOffset val="100"/>
        <c:noMultiLvlLbl val="0"/>
      </c:catAx>
      <c:valAx>
        <c:axId val="16216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Table'!$A$90:$A$95</c:f>
              <c:strCache>
                <c:ptCount val="5"/>
                <c:pt idx="0">
                  <c:v>C013</c:v>
                </c:pt>
                <c:pt idx="1">
                  <c:v>C011</c:v>
                </c:pt>
                <c:pt idx="2">
                  <c:v>C002</c:v>
                </c:pt>
                <c:pt idx="3">
                  <c:v>C019</c:v>
                </c:pt>
                <c:pt idx="4">
                  <c:v>C001</c:v>
                </c:pt>
              </c:strCache>
            </c:strRef>
          </c:cat>
          <c:val>
            <c:numRef>
              <c:f>'Pivot Table'!$B$90:$B$95</c:f>
              <c:numCache>
                <c:formatCode>General</c:formatCode>
                <c:ptCount val="5"/>
                <c:pt idx="0">
                  <c:v>35000</c:v>
                </c:pt>
                <c:pt idx="1">
                  <c:v>40000</c:v>
                </c:pt>
                <c:pt idx="2">
                  <c:v>40000</c:v>
                </c:pt>
                <c:pt idx="3">
                  <c:v>45000</c:v>
                </c:pt>
                <c:pt idx="4">
                  <c:v>55000</c:v>
                </c:pt>
              </c:numCache>
            </c:numRef>
          </c:val>
          <c:extLst>
            <c:ext xmlns:c16="http://schemas.microsoft.com/office/drawing/2014/chart" uri="{C3380CC4-5D6E-409C-BE32-E72D297353CC}">
              <c16:uniqueId val="{00000000-D589-4E83-9577-7B9C4829CB9F}"/>
            </c:ext>
          </c:extLst>
        </c:ser>
        <c:dLbls>
          <c:showLegendKey val="0"/>
          <c:showVal val="0"/>
          <c:showCatName val="0"/>
          <c:showSerName val="0"/>
          <c:showPercent val="0"/>
          <c:showBubbleSize val="0"/>
        </c:dLbls>
        <c:gapWidth val="182"/>
        <c:axId val="165517903"/>
        <c:axId val="165518319"/>
      </c:barChart>
      <c:catAx>
        <c:axId val="165517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8319"/>
        <c:crosses val="autoZero"/>
        <c:auto val="1"/>
        <c:lblAlgn val="ctr"/>
        <c:lblOffset val="100"/>
        <c:noMultiLvlLbl val="0"/>
      </c:catAx>
      <c:valAx>
        <c:axId val="165518319"/>
        <c:scaling>
          <c:orientation val="minMax"/>
        </c:scaling>
        <c:delete val="1"/>
        <c:axPos val="b"/>
        <c:numFmt formatCode="General" sourceLinked="1"/>
        <c:majorTickMark val="out"/>
        <c:minorTickMark val="none"/>
        <c:tickLblPos val="nextTo"/>
        <c:crossAx val="16551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9A-4128-82BE-2C27BDBC72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9A-4128-82BE-2C27BDBC72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9A-4128-82BE-2C27BDBC72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9A-4128-82BE-2C27BDBC72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Table'!$A$72:$A$76</c:f>
              <c:strCache>
                <c:ptCount val="4"/>
                <c:pt idx="0">
                  <c:v>East</c:v>
                </c:pt>
                <c:pt idx="1">
                  <c:v>North</c:v>
                </c:pt>
                <c:pt idx="2">
                  <c:v>South</c:v>
                </c:pt>
                <c:pt idx="3">
                  <c:v>West</c:v>
                </c:pt>
              </c:strCache>
            </c:strRef>
          </c:cat>
          <c:val>
            <c:numRef>
              <c:f>'Pivot Table'!$B$72:$B$76</c:f>
              <c:numCache>
                <c:formatCode>0.00%</c:formatCode>
                <c:ptCount val="4"/>
                <c:pt idx="0">
                  <c:v>9.2758827049670853E-2</c:v>
                </c:pt>
                <c:pt idx="1">
                  <c:v>0.29952124476361458</c:v>
                </c:pt>
                <c:pt idx="2">
                  <c:v>0.37552363853979653</c:v>
                </c:pt>
                <c:pt idx="3">
                  <c:v>0.23219628964691802</c:v>
                </c:pt>
              </c:numCache>
            </c:numRef>
          </c:val>
          <c:extLst>
            <c:ext xmlns:c16="http://schemas.microsoft.com/office/drawing/2014/chart" uri="{C3380CC4-5D6E-409C-BE32-E72D297353CC}">
              <c16:uniqueId val="{00000008-489A-4128-82BE-2C27BDBC72D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6135221505106837"/>
          <c:y val="0.90798837763930773"/>
          <c:w val="0.50003240446501307"/>
          <c:h val="6.7877550942844062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Table'!$A$40:$A$60</c:f>
              <c:strCache>
                <c:ptCount val="20"/>
                <c:pt idx="0">
                  <c:v>Air Conditioner</c:v>
                </c:pt>
                <c:pt idx="1">
                  <c:v>Backpack</c:v>
                </c:pt>
                <c:pt idx="2">
                  <c:v>Blender</c:v>
                </c:pt>
                <c:pt idx="3">
                  <c:v>Books</c:v>
                </c:pt>
                <c:pt idx="4">
                  <c:v>Camera</c:v>
                </c:pt>
                <c:pt idx="5">
                  <c:v>Desk</c:v>
                </c:pt>
                <c:pt idx="6">
                  <c:v>Headphones</c:v>
                </c:pt>
                <c:pt idx="7">
                  <c:v>Jacket</c:v>
                </c:pt>
                <c:pt idx="8">
                  <c:v>Keyboard</c:v>
                </c:pt>
                <c:pt idx="9">
                  <c:v>Laptop</c:v>
                </c:pt>
                <c:pt idx="10">
                  <c:v>Microwave</c:v>
                </c:pt>
                <c:pt idx="11">
                  <c:v>Mouse</c:v>
                </c:pt>
                <c:pt idx="12">
                  <c:v>Refrigerator</c:v>
                </c:pt>
                <c:pt idx="13">
                  <c:v>Sandals</c:v>
                </c:pt>
                <c:pt idx="14">
                  <c:v>Shoes</c:v>
                </c:pt>
                <c:pt idx="15">
                  <c:v>Smartphone</c:v>
                </c:pt>
                <c:pt idx="16">
                  <c:v>Sofa</c:v>
                </c:pt>
                <c:pt idx="17">
                  <c:v>Tablet</c:v>
                </c:pt>
                <c:pt idx="18">
                  <c:v>T-shirt</c:v>
                </c:pt>
                <c:pt idx="19">
                  <c:v>Watch</c:v>
                </c:pt>
              </c:strCache>
            </c:strRef>
          </c:cat>
          <c:val>
            <c:numRef>
              <c:f>'Pivot Table'!$B$40:$B$60</c:f>
              <c:numCache>
                <c:formatCode>General</c:formatCode>
                <c:ptCount val="20"/>
                <c:pt idx="0">
                  <c:v>45000</c:v>
                </c:pt>
                <c:pt idx="1">
                  <c:v>3600</c:v>
                </c:pt>
                <c:pt idx="2">
                  <c:v>3000</c:v>
                </c:pt>
                <c:pt idx="3">
                  <c:v>3000</c:v>
                </c:pt>
                <c:pt idx="4">
                  <c:v>35000</c:v>
                </c:pt>
                <c:pt idx="5">
                  <c:v>7000</c:v>
                </c:pt>
                <c:pt idx="6">
                  <c:v>3000</c:v>
                </c:pt>
                <c:pt idx="7">
                  <c:v>7000</c:v>
                </c:pt>
                <c:pt idx="8">
                  <c:v>4500</c:v>
                </c:pt>
                <c:pt idx="9">
                  <c:v>55000</c:v>
                </c:pt>
                <c:pt idx="10">
                  <c:v>12000</c:v>
                </c:pt>
                <c:pt idx="11">
                  <c:v>3500</c:v>
                </c:pt>
                <c:pt idx="12">
                  <c:v>30000</c:v>
                </c:pt>
                <c:pt idx="13">
                  <c:v>2400</c:v>
                </c:pt>
                <c:pt idx="14">
                  <c:v>7500</c:v>
                </c:pt>
                <c:pt idx="15">
                  <c:v>40000</c:v>
                </c:pt>
                <c:pt idx="16">
                  <c:v>40000</c:v>
                </c:pt>
                <c:pt idx="17">
                  <c:v>25000</c:v>
                </c:pt>
                <c:pt idx="18">
                  <c:v>3200</c:v>
                </c:pt>
                <c:pt idx="19">
                  <c:v>4500</c:v>
                </c:pt>
              </c:numCache>
            </c:numRef>
          </c:val>
          <c:extLst>
            <c:ext xmlns:c16="http://schemas.microsoft.com/office/drawing/2014/chart" uri="{C3380CC4-5D6E-409C-BE32-E72D297353CC}">
              <c16:uniqueId val="{00000000-BE5F-41DF-AF25-1C2212280341}"/>
            </c:ext>
          </c:extLst>
        </c:ser>
        <c:dLbls>
          <c:showLegendKey val="0"/>
          <c:showVal val="0"/>
          <c:showCatName val="0"/>
          <c:showSerName val="0"/>
          <c:showPercent val="0"/>
          <c:showBubbleSize val="0"/>
        </c:dLbls>
        <c:gapWidth val="182"/>
        <c:axId val="1843116511"/>
        <c:axId val="1843114431"/>
      </c:barChart>
      <c:catAx>
        <c:axId val="184311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14431"/>
        <c:crosses val="autoZero"/>
        <c:auto val="1"/>
        <c:lblAlgn val="ctr"/>
        <c:lblOffset val="100"/>
        <c:noMultiLvlLbl val="0"/>
      </c:catAx>
      <c:valAx>
        <c:axId val="1843114431"/>
        <c:scaling>
          <c:orientation val="minMax"/>
        </c:scaling>
        <c:delete val="1"/>
        <c:axPos val="b"/>
        <c:numFmt formatCode="General" sourceLinked="1"/>
        <c:majorTickMark val="none"/>
        <c:minorTickMark val="none"/>
        <c:tickLblPos val="nextTo"/>
        <c:crossAx val="184311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cat>
            <c:strRef>
              <c:f>'Pivot Table'!$A$40:$A$60</c:f>
              <c:strCache>
                <c:ptCount val="20"/>
                <c:pt idx="0">
                  <c:v>Air Conditioner</c:v>
                </c:pt>
                <c:pt idx="1">
                  <c:v>Backpack</c:v>
                </c:pt>
                <c:pt idx="2">
                  <c:v>Blender</c:v>
                </c:pt>
                <c:pt idx="3">
                  <c:v>Books</c:v>
                </c:pt>
                <c:pt idx="4">
                  <c:v>Camera</c:v>
                </c:pt>
                <c:pt idx="5">
                  <c:v>Desk</c:v>
                </c:pt>
                <c:pt idx="6">
                  <c:v>Headphones</c:v>
                </c:pt>
                <c:pt idx="7">
                  <c:v>Jacket</c:v>
                </c:pt>
                <c:pt idx="8">
                  <c:v>Keyboard</c:v>
                </c:pt>
                <c:pt idx="9">
                  <c:v>Laptop</c:v>
                </c:pt>
                <c:pt idx="10">
                  <c:v>Microwave</c:v>
                </c:pt>
                <c:pt idx="11">
                  <c:v>Mouse</c:v>
                </c:pt>
                <c:pt idx="12">
                  <c:v>Refrigerator</c:v>
                </c:pt>
                <c:pt idx="13">
                  <c:v>Sandals</c:v>
                </c:pt>
                <c:pt idx="14">
                  <c:v>Shoes</c:v>
                </c:pt>
                <c:pt idx="15">
                  <c:v>Smartphone</c:v>
                </c:pt>
                <c:pt idx="16">
                  <c:v>Sofa</c:v>
                </c:pt>
                <c:pt idx="17">
                  <c:v>Tablet</c:v>
                </c:pt>
                <c:pt idx="18">
                  <c:v>T-shirt</c:v>
                </c:pt>
                <c:pt idx="19">
                  <c:v>Watch</c:v>
                </c:pt>
              </c:strCache>
            </c:strRef>
          </c:cat>
          <c:val>
            <c:numRef>
              <c:f>'Pivot Table'!$B$40:$B$60</c:f>
              <c:numCache>
                <c:formatCode>General</c:formatCode>
                <c:ptCount val="20"/>
                <c:pt idx="0">
                  <c:v>45000</c:v>
                </c:pt>
                <c:pt idx="1">
                  <c:v>3600</c:v>
                </c:pt>
                <c:pt idx="2">
                  <c:v>3000</c:v>
                </c:pt>
                <c:pt idx="3">
                  <c:v>3000</c:v>
                </c:pt>
                <c:pt idx="4">
                  <c:v>35000</c:v>
                </c:pt>
                <c:pt idx="5">
                  <c:v>7000</c:v>
                </c:pt>
                <c:pt idx="6">
                  <c:v>3000</c:v>
                </c:pt>
                <c:pt idx="7">
                  <c:v>7000</c:v>
                </c:pt>
                <c:pt idx="8">
                  <c:v>4500</c:v>
                </c:pt>
                <c:pt idx="9">
                  <c:v>55000</c:v>
                </c:pt>
                <c:pt idx="10">
                  <c:v>12000</c:v>
                </c:pt>
                <c:pt idx="11">
                  <c:v>3500</c:v>
                </c:pt>
                <c:pt idx="12">
                  <c:v>30000</c:v>
                </c:pt>
                <c:pt idx="13">
                  <c:v>2400</c:v>
                </c:pt>
                <c:pt idx="14">
                  <c:v>7500</c:v>
                </c:pt>
                <c:pt idx="15">
                  <c:v>40000</c:v>
                </c:pt>
                <c:pt idx="16">
                  <c:v>40000</c:v>
                </c:pt>
                <c:pt idx="17">
                  <c:v>25000</c:v>
                </c:pt>
                <c:pt idx="18">
                  <c:v>3200</c:v>
                </c:pt>
                <c:pt idx="19">
                  <c:v>4500</c:v>
                </c:pt>
              </c:numCache>
            </c:numRef>
          </c:val>
          <c:extLst>
            <c:ext xmlns:c16="http://schemas.microsoft.com/office/drawing/2014/chart" uri="{C3380CC4-5D6E-409C-BE32-E72D297353CC}">
              <c16:uniqueId val="{00000000-3FEF-486C-98FE-6498953F8621}"/>
            </c:ext>
          </c:extLst>
        </c:ser>
        <c:dLbls>
          <c:showLegendKey val="0"/>
          <c:showVal val="0"/>
          <c:showCatName val="0"/>
          <c:showSerName val="0"/>
          <c:showPercent val="0"/>
          <c:showBubbleSize val="0"/>
        </c:dLbls>
        <c:gapWidth val="182"/>
        <c:axId val="1843116511"/>
        <c:axId val="1843114431"/>
      </c:barChart>
      <c:catAx>
        <c:axId val="184311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14431"/>
        <c:crosses val="autoZero"/>
        <c:auto val="1"/>
        <c:lblAlgn val="ctr"/>
        <c:lblOffset val="100"/>
        <c:noMultiLvlLbl val="0"/>
      </c:catAx>
      <c:valAx>
        <c:axId val="1843114431"/>
        <c:scaling>
          <c:orientation val="minMax"/>
        </c:scaling>
        <c:delete val="1"/>
        <c:axPos val="b"/>
        <c:numFmt formatCode="General" sourceLinked="1"/>
        <c:majorTickMark val="none"/>
        <c:minorTickMark val="none"/>
        <c:tickLblPos val="nextTo"/>
        <c:crossAx val="184311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Table'!$A$72:$A$76</c:f>
              <c:strCache>
                <c:ptCount val="4"/>
                <c:pt idx="0">
                  <c:v>East</c:v>
                </c:pt>
                <c:pt idx="1">
                  <c:v>North</c:v>
                </c:pt>
                <c:pt idx="2">
                  <c:v>South</c:v>
                </c:pt>
                <c:pt idx="3">
                  <c:v>West</c:v>
                </c:pt>
              </c:strCache>
            </c:strRef>
          </c:cat>
          <c:val>
            <c:numRef>
              <c:f>'Pivot Table'!$B$72:$B$76</c:f>
              <c:numCache>
                <c:formatCode>0.00%</c:formatCode>
                <c:ptCount val="4"/>
                <c:pt idx="0">
                  <c:v>9.2758827049670853E-2</c:v>
                </c:pt>
                <c:pt idx="1">
                  <c:v>0.29952124476361458</c:v>
                </c:pt>
                <c:pt idx="2">
                  <c:v>0.37552363853979653</c:v>
                </c:pt>
                <c:pt idx="3">
                  <c:v>0.23219628964691802</c:v>
                </c:pt>
              </c:numCache>
            </c:numRef>
          </c:val>
          <c:extLst>
            <c:ext xmlns:c16="http://schemas.microsoft.com/office/drawing/2014/chart" uri="{C3380CC4-5D6E-409C-BE32-E72D297353CC}">
              <c16:uniqueId val="{00000000-0EE7-4853-8675-EEE8E1B544C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242607174103234"/>
          <c:y val="0.34374890638670164"/>
          <c:w val="0.15090726159230095"/>
          <c:h val="0.39583552055992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Table'!$A$90:$A$95</c:f>
              <c:strCache>
                <c:ptCount val="5"/>
                <c:pt idx="0">
                  <c:v>C013</c:v>
                </c:pt>
                <c:pt idx="1">
                  <c:v>C011</c:v>
                </c:pt>
                <c:pt idx="2">
                  <c:v>C002</c:v>
                </c:pt>
                <c:pt idx="3">
                  <c:v>C019</c:v>
                </c:pt>
                <c:pt idx="4">
                  <c:v>C001</c:v>
                </c:pt>
              </c:strCache>
            </c:strRef>
          </c:cat>
          <c:val>
            <c:numRef>
              <c:f>'Pivot Table'!$B$90:$B$95</c:f>
              <c:numCache>
                <c:formatCode>General</c:formatCode>
                <c:ptCount val="5"/>
                <c:pt idx="0">
                  <c:v>35000</c:v>
                </c:pt>
                <c:pt idx="1">
                  <c:v>40000</c:v>
                </c:pt>
                <c:pt idx="2">
                  <c:v>40000</c:v>
                </c:pt>
                <c:pt idx="3">
                  <c:v>45000</c:v>
                </c:pt>
                <c:pt idx="4">
                  <c:v>55000</c:v>
                </c:pt>
              </c:numCache>
            </c:numRef>
          </c:val>
          <c:extLst>
            <c:ext xmlns:c16="http://schemas.microsoft.com/office/drawing/2014/chart" uri="{C3380CC4-5D6E-409C-BE32-E72D297353CC}">
              <c16:uniqueId val="{00000000-5BDF-4F2C-96DC-F02F6184E5F2}"/>
            </c:ext>
          </c:extLst>
        </c:ser>
        <c:dLbls>
          <c:showLegendKey val="0"/>
          <c:showVal val="0"/>
          <c:showCatName val="0"/>
          <c:showSerName val="0"/>
          <c:showPercent val="0"/>
          <c:showBubbleSize val="0"/>
        </c:dLbls>
        <c:gapWidth val="182"/>
        <c:axId val="165517903"/>
        <c:axId val="165518319"/>
      </c:barChart>
      <c:catAx>
        <c:axId val="165517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8319"/>
        <c:crosses val="autoZero"/>
        <c:auto val="1"/>
        <c:lblAlgn val="ctr"/>
        <c:lblOffset val="100"/>
        <c:noMultiLvlLbl val="0"/>
      </c:catAx>
      <c:valAx>
        <c:axId val="165518319"/>
        <c:scaling>
          <c:orientation val="minMax"/>
        </c:scaling>
        <c:delete val="1"/>
        <c:axPos val="b"/>
        <c:numFmt formatCode="General" sourceLinked="1"/>
        <c:majorTickMark val="out"/>
        <c:minorTickMark val="none"/>
        <c:tickLblPos val="nextTo"/>
        <c:crossAx val="16551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Table!PivotTable10</c:name>
    <c:fmtId val="12"/>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Table'!$B$113</c:f>
              <c:strCache>
                <c:ptCount val="1"/>
                <c:pt idx="0">
                  <c:v>Total</c:v>
                </c:pt>
              </c:strCache>
            </c:strRef>
          </c:tx>
          <c:spPr>
            <a:ln w="28575" cap="rnd">
              <a:solidFill>
                <a:schemeClr val="accent1"/>
              </a:solidFill>
              <a:round/>
            </a:ln>
            <a:effectLst/>
          </c:spPr>
          <c:marker>
            <c:symbol val="none"/>
          </c:marker>
          <c:cat>
            <c:strRef>
              <c:f>'Pivot Table'!$A$114:$A$116</c:f>
              <c:strCache>
                <c:ptCount val="2"/>
                <c:pt idx="0">
                  <c:v>Jan</c:v>
                </c:pt>
                <c:pt idx="1">
                  <c:v>Feb</c:v>
                </c:pt>
              </c:strCache>
            </c:strRef>
          </c:cat>
          <c:val>
            <c:numRef>
              <c:f>'Pivot Table'!$B$114:$B$116</c:f>
              <c:numCache>
                <c:formatCode>General</c:formatCode>
                <c:ptCount val="2"/>
                <c:pt idx="0">
                  <c:v>183800</c:v>
                </c:pt>
                <c:pt idx="1">
                  <c:v>150400</c:v>
                </c:pt>
              </c:numCache>
            </c:numRef>
          </c:val>
          <c:smooth val="0"/>
          <c:extLst>
            <c:ext xmlns:c16="http://schemas.microsoft.com/office/drawing/2014/chart" uri="{C3380CC4-5D6E-409C-BE32-E72D297353CC}">
              <c16:uniqueId val="{00000000-9A70-4A5F-AD20-B42EBFA1673F}"/>
            </c:ext>
          </c:extLst>
        </c:ser>
        <c:dLbls>
          <c:dLblPos val="t"/>
          <c:showLegendKey val="0"/>
          <c:showVal val="0"/>
          <c:showCatName val="0"/>
          <c:showSerName val="0"/>
          <c:showPercent val="0"/>
          <c:showBubbleSize val="0"/>
        </c:dLbls>
        <c:smooth val="0"/>
        <c:axId val="162166911"/>
        <c:axId val="162169823"/>
      </c:lineChart>
      <c:catAx>
        <c:axId val="16216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9823"/>
        <c:crosses val="autoZero"/>
        <c:auto val="1"/>
        <c:lblAlgn val="ctr"/>
        <c:lblOffset val="100"/>
        <c:noMultiLvlLbl val="0"/>
      </c:catAx>
      <c:valAx>
        <c:axId val="16216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Region!A1"/><Relationship Id="rId2" Type="http://schemas.openxmlformats.org/officeDocument/2006/relationships/hyperlink" Target="#Product!A1"/><Relationship Id="rId1" Type="http://schemas.openxmlformats.org/officeDocument/2006/relationships/hyperlink" Target="#'KPI''S'!A1"/><Relationship Id="rId6" Type="http://schemas.openxmlformats.org/officeDocument/2006/relationships/chart" Target="../charts/chart1.xml"/><Relationship Id="rId5" Type="http://schemas.openxmlformats.org/officeDocument/2006/relationships/hyperlink" Target="#Monthly!A1"/><Relationship Id="rId4" Type="http://schemas.openxmlformats.org/officeDocument/2006/relationships/hyperlink" Target="#Customer!A1"/></Relationships>
</file>

<file path=xl/drawings/_rels/drawing2.xml.rels><?xml version="1.0" encoding="UTF-8" standalone="yes"?>
<Relationships xmlns="http://schemas.openxmlformats.org/package/2006/relationships"><Relationship Id="rId3" Type="http://schemas.openxmlformats.org/officeDocument/2006/relationships/hyperlink" Target="#Region!A1"/><Relationship Id="rId2" Type="http://schemas.openxmlformats.org/officeDocument/2006/relationships/hyperlink" Target="#Product!A1"/><Relationship Id="rId1" Type="http://schemas.openxmlformats.org/officeDocument/2006/relationships/hyperlink" Target="#'KPI''S'!A1"/><Relationship Id="rId6" Type="http://schemas.openxmlformats.org/officeDocument/2006/relationships/chart" Target="../charts/chart2.xml"/><Relationship Id="rId5" Type="http://schemas.openxmlformats.org/officeDocument/2006/relationships/hyperlink" Target="#Monthly!A1"/><Relationship Id="rId4" Type="http://schemas.openxmlformats.org/officeDocument/2006/relationships/hyperlink" Target="#Customer!A1"/></Relationships>
</file>

<file path=xl/drawings/_rels/drawing3.xml.rels><?xml version="1.0" encoding="UTF-8" standalone="yes"?>
<Relationships xmlns="http://schemas.openxmlformats.org/package/2006/relationships"><Relationship Id="rId3" Type="http://schemas.openxmlformats.org/officeDocument/2006/relationships/hyperlink" Target="#Customer!A1"/><Relationship Id="rId2" Type="http://schemas.openxmlformats.org/officeDocument/2006/relationships/hyperlink" Target="#Product!A1"/><Relationship Id="rId1" Type="http://schemas.openxmlformats.org/officeDocument/2006/relationships/hyperlink" Target="#'KPI''S'!A1"/><Relationship Id="rId5" Type="http://schemas.openxmlformats.org/officeDocument/2006/relationships/chart" Target="../charts/chart3.xml"/><Relationship Id="rId4" Type="http://schemas.openxmlformats.org/officeDocument/2006/relationships/hyperlink" Target="#Monthly!A1"/></Relationships>
</file>

<file path=xl/drawings/_rels/drawing4.xml.rels><?xml version="1.0" encoding="UTF-8" standalone="yes"?>
<Relationships xmlns="http://schemas.openxmlformats.org/package/2006/relationships"><Relationship Id="rId3" Type="http://schemas.openxmlformats.org/officeDocument/2006/relationships/hyperlink" Target="#Product!A1"/><Relationship Id="rId2" Type="http://schemas.openxmlformats.org/officeDocument/2006/relationships/hyperlink" Target="#'KPI''S'!A1"/><Relationship Id="rId1" Type="http://schemas.openxmlformats.org/officeDocument/2006/relationships/chart" Target="../charts/chart4.xml"/><Relationship Id="rId6" Type="http://schemas.openxmlformats.org/officeDocument/2006/relationships/hyperlink" Target="#Monthly!A1"/><Relationship Id="rId5" Type="http://schemas.openxmlformats.org/officeDocument/2006/relationships/hyperlink" Target="#Customer!A1"/><Relationship Id="rId4" Type="http://schemas.openxmlformats.org/officeDocument/2006/relationships/hyperlink" Target="#Region!A1"/></Relationships>
</file>

<file path=xl/drawings/_rels/drawing5.xml.rels><?xml version="1.0" encoding="UTF-8" standalone="yes"?>
<Relationships xmlns="http://schemas.openxmlformats.org/package/2006/relationships"><Relationship Id="rId8" Type="http://schemas.openxmlformats.org/officeDocument/2006/relationships/hyperlink" Target="#Region!A1"/><Relationship Id="rId3" Type="http://schemas.openxmlformats.org/officeDocument/2006/relationships/image" Target="../media/image3.png"/><Relationship Id="rId7" Type="http://schemas.openxmlformats.org/officeDocument/2006/relationships/hyperlink" Target="#Product!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hyperlink" Target="#Monthly!A1"/><Relationship Id="rId4" Type="http://schemas.openxmlformats.org/officeDocument/2006/relationships/image" Target="../media/image4.svg"/><Relationship Id="rId9" Type="http://schemas.openxmlformats.org/officeDocument/2006/relationships/hyperlink" Target="#Customer!A1"/></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342348</xdr:colOff>
      <xdr:row>0</xdr:row>
      <xdr:rowOff>165652</xdr:rowOff>
    </xdr:from>
    <xdr:to>
      <xdr:col>16</xdr:col>
      <xdr:colOff>215348</xdr:colOff>
      <xdr:row>22</xdr:row>
      <xdr:rowOff>154608</xdr:rowOff>
    </xdr:to>
    <xdr:sp macro="" textlink="">
      <xdr:nvSpPr>
        <xdr:cNvPr id="2" name="Rectangle: Rounded Corners 1">
          <a:extLst>
            <a:ext uri="{FF2B5EF4-FFF2-40B4-BE49-F238E27FC236}">
              <a16:creationId xmlns:a16="http://schemas.microsoft.com/office/drawing/2014/main" id="{A185B212-7046-4609-94B1-B18EA2CC513B}"/>
            </a:ext>
          </a:extLst>
        </xdr:cNvPr>
        <xdr:cNvSpPr/>
      </xdr:nvSpPr>
      <xdr:spPr>
        <a:xfrm>
          <a:off x="342348" y="165652"/>
          <a:ext cx="9626600" cy="4040256"/>
        </a:xfrm>
        <a:prstGeom prst="roundRect">
          <a:avLst>
            <a:gd name="adj" fmla="val 25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524564</xdr:colOff>
      <xdr:row>1</xdr:row>
      <xdr:rowOff>38653</xdr:rowOff>
    </xdr:from>
    <xdr:to>
      <xdr:col>16</xdr:col>
      <xdr:colOff>138043</xdr:colOff>
      <xdr:row>22</xdr:row>
      <xdr:rowOff>82826</xdr:rowOff>
    </xdr:to>
    <xdr:sp macro="" textlink="">
      <xdr:nvSpPr>
        <xdr:cNvPr id="3" name="Rectangle: Rounded Corners 2">
          <a:extLst>
            <a:ext uri="{FF2B5EF4-FFF2-40B4-BE49-F238E27FC236}">
              <a16:creationId xmlns:a16="http://schemas.microsoft.com/office/drawing/2014/main" id="{0C68CB56-348B-41E5-88B3-0A2635CB6FAC}"/>
            </a:ext>
          </a:extLst>
        </xdr:cNvPr>
        <xdr:cNvSpPr/>
      </xdr:nvSpPr>
      <xdr:spPr>
        <a:xfrm>
          <a:off x="1743764" y="222803"/>
          <a:ext cx="8147879" cy="3911323"/>
        </a:xfrm>
        <a:prstGeom prst="roundRect">
          <a:avLst>
            <a:gd name="adj" fmla="val 2795"/>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49696</xdr:colOff>
      <xdr:row>1</xdr:row>
      <xdr:rowOff>138044</xdr:rowOff>
    </xdr:from>
    <xdr:to>
      <xdr:col>16</xdr:col>
      <xdr:colOff>27609</xdr:colOff>
      <xdr:row>21</xdr:row>
      <xdr:rowOff>154609</xdr:rowOff>
    </xdr:to>
    <xdr:sp macro="" textlink="">
      <xdr:nvSpPr>
        <xdr:cNvPr id="4" name="Rectangle 3">
          <a:extLst>
            <a:ext uri="{FF2B5EF4-FFF2-40B4-BE49-F238E27FC236}">
              <a16:creationId xmlns:a16="http://schemas.microsoft.com/office/drawing/2014/main" id="{04AC1CAD-4BC2-4067-8BE8-9727B06F50FB}"/>
            </a:ext>
          </a:extLst>
        </xdr:cNvPr>
        <xdr:cNvSpPr/>
      </xdr:nvSpPr>
      <xdr:spPr>
        <a:xfrm>
          <a:off x="1878496" y="322194"/>
          <a:ext cx="7902713" cy="369956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123268</xdr:colOff>
      <xdr:row>2</xdr:row>
      <xdr:rowOff>17587</xdr:rowOff>
    </xdr:from>
    <xdr:to>
      <xdr:col>7</xdr:col>
      <xdr:colOff>223426</xdr:colOff>
      <xdr:row>3</xdr:row>
      <xdr:rowOff>122551</xdr:rowOff>
    </xdr:to>
    <xdr:sp macro="" textlink="">
      <xdr:nvSpPr>
        <xdr:cNvPr id="5" name="TextBox 4">
          <a:extLst>
            <a:ext uri="{FF2B5EF4-FFF2-40B4-BE49-F238E27FC236}">
              <a16:creationId xmlns:a16="http://schemas.microsoft.com/office/drawing/2014/main" id="{8E771FF8-6B5E-4B1C-B03D-BFC592A85B3E}"/>
            </a:ext>
          </a:extLst>
        </xdr:cNvPr>
        <xdr:cNvSpPr txBox="1"/>
      </xdr:nvSpPr>
      <xdr:spPr>
        <a:xfrm>
          <a:off x="1957712" y="382124"/>
          <a:ext cx="2546084" cy="287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Monthly Revenue Trend:</a:t>
          </a:r>
          <a:endParaRPr lang="en-IN" sz="1400" b="1"/>
        </a:p>
      </xdr:txBody>
    </xdr:sp>
    <xdr:clientData/>
  </xdr:twoCellAnchor>
  <xdr:twoCellAnchor>
    <xdr:from>
      <xdr:col>0</xdr:col>
      <xdr:colOff>469348</xdr:colOff>
      <xdr:row>6</xdr:row>
      <xdr:rowOff>171174</xdr:rowOff>
    </xdr:from>
    <xdr:to>
      <xdr:col>2</xdr:col>
      <xdr:colOff>425174</xdr:colOff>
      <xdr:row>9</xdr:row>
      <xdr:rowOff>60738</xdr:rowOff>
    </xdr:to>
    <xdr:sp macro="" textlink="">
      <xdr:nvSpPr>
        <xdr:cNvPr id="6" name="TextBox 5">
          <a:hlinkClick xmlns:r="http://schemas.openxmlformats.org/officeDocument/2006/relationships" r:id="rId1"/>
          <a:extLst>
            <a:ext uri="{FF2B5EF4-FFF2-40B4-BE49-F238E27FC236}">
              <a16:creationId xmlns:a16="http://schemas.microsoft.com/office/drawing/2014/main" id="{9B817B4F-AE04-4142-8829-49EB136F0422}"/>
            </a:ext>
          </a:extLst>
        </xdr:cNvPr>
        <xdr:cNvSpPr txBox="1"/>
      </xdr:nvSpPr>
      <xdr:spPr>
        <a:xfrm>
          <a:off x="469348" y="1276074"/>
          <a:ext cx="1175026" cy="442014"/>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KPI'S</a:t>
          </a:r>
        </a:p>
      </xdr:txBody>
    </xdr:sp>
    <xdr:clientData/>
  </xdr:twoCellAnchor>
  <xdr:twoCellAnchor>
    <xdr:from>
      <xdr:col>0</xdr:col>
      <xdr:colOff>469348</xdr:colOff>
      <xdr:row>9</xdr:row>
      <xdr:rowOff>127000</xdr:rowOff>
    </xdr:from>
    <xdr:to>
      <xdr:col>2</xdr:col>
      <xdr:colOff>425174</xdr:colOff>
      <xdr:row>12</xdr:row>
      <xdr:rowOff>16565</xdr:rowOff>
    </xdr:to>
    <xdr:sp macro="" textlink="">
      <xdr:nvSpPr>
        <xdr:cNvPr id="7" name="TextBox 6">
          <a:hlinkClick xmlns:r="http://schemas.openxmlformats.org/officeDocument/2006/relationships" r:id="rId2"/>
          <a:extLst>
            <a:ext uri="{FF2B5EF4-FFF2-40B4-BE49-F238E27FC236}">
              <a16:creationId xmlns:a16="http://schemas.microsoft.com/office/drawing/2014/main" id="{62F92CB4-8CC2-41C4-BF10-61211774C560}"/>
            </a:ext>
          </a:extLst>
        </xdr:cNvPr>
        <xdr:cNvSpPr txBox="1"/>
      </xdr:nvSpPr>
      <xdr:spPr>
        <a:xfrm>
          <a:off x="469348" y="1784350"/>
          <a:ext cx="1175026" cy="442015"/>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PRODUCT</a:t>
          </a:r>
        </a:p>
      </xdr:txBody>
    </xdr:sp>
    <xdr:clientData/>
  </xdr:twoCellAnchor>
  <xdr:twoCellAnchor>
    <xdr:from>
      <xdr:col>0</xdr:col>
      <xdr:colOff>469348</xdr:colOff>
      <xdr:row>12</xdr:row>
      <xdr:rowOff>82826</xdr:rowOff>
    </xdr:from>
    <xdr:to>
      <xdr:col>2</xdr:col>
      <xdr:colOff>425174</xdr:colOff>
      <xdr:row>14</xdr:row>
      <xdr:rowOff>154609</xdr:rowOff>
    </xdr:to>
    <xdr:sp macro="" textlink="">
      <xdr:nvSpPr>
        <xdr:cNvPr id="8" name="TextBox 7">
          <a:hlinkClick xmlns:r="http://schemas.openxmlformats.org/officeDocument/2006/relationships" r:id="rId3"/>
          <a:extLst>
            <a:ext uri="{FF2B5EF4-FFF2-40B4-BE49-F238E27FC236}">
              <a16:creationId xmlns:a16="http://schemas.microsoft.com/office/drawing/2014/main" id="{E46A5C80-504A-436D-9DA8-0ADCB59E5731}"/>
            </a:ext>
          </a:extLst>
        </xdr:cNvPr>
        <xdr:cNvSpPr txBox="1"/>
      </xdr:nvSpPr>
      <xdr:spPr>
        <a:xfrm>
          <a:off x="469348" y="2292626"/>
          <a:ext cx="1175026" cy="440083"/>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REGION</a:t>
          </a:r>
        </a:p>
      </xdr:txBody>
    </xdr:sp>
    <xdr:clientData/>
  </xdr:twoCellAnchor>
  <xdr:twoCellAnchor>
    <xdr:from>
      <xdr:col>0</xdr:col>
      <xdr:colOff>469348</xdr:colOff>
      <xdr:row>15</xdr:row>
      <xdr:rowOff>49696</xdr:rowOff>
    </xdr:from>
    <xdr:to>
      <xdr:col>2</xdr:col>
      <xdr:colOff>425174</xdr:colOff>
      <xdr:row>17</xdr:row>
      <xdr:rowOff>121478</xdr:rowOff>
    </xdr:to>
    <xdr:sp macro="" textlink="">
      <xdr:nvSpPr>
        <xdr:cNvPr id="9" name="TextBox 8">
          <a:hlinkClick xmlns:r="http://schemas.openxmlformats.org/officeDocument/2006/relationships" r:id="rId4"/>
          <a:extLst>
            <a:ext uri="{FF2B5EF4-FFF2-40B4-BE49-F238E27FC236}">
              <a16:creationId xmlns:a16="http://schemas.microsoft.com/office/drawing/2014/main" id="{2498EB1C-6BE8-4063-8E11-6BBD4D0A2D54}"/>
            </a:ext>
          </a:extLst>
        </xdr:cNvPr>
        <xdr:cNvSpPr txBox="1"/>
      </xdr:nvSpPr>
      <xdr:spPr>
        <a:xfrm>
          <a:off x="469348" y="2811946"/>
          <a:ext cx="1175026" cy="440082"/>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CUSTOMER</a:t>
          </a:r>
        </a:p>
      </xdr:txBody>
    </xdr:sp>
    <xdr:clientData/>
  </xdr:twoCellAnchor>
  <xdr:twoCellAnchor>
    <xdr:from>
      <xdr:col>0</xdr:col>
      <xdr:colOff>469348</xdr:colOff>
      <xdr:row>18</xdr:row>
      <xdr:rowOff>16565</xdr:rowOff>
    </xdr:from>
    <xdr:to>
      <xdr:col>2</xdr:col>
      <xdr:colOff>425174</xdr:colOff>
      <xdr:row>20</xdr:row>
      <xdr:rowOff>88347</xdr:rowOff>
    </xdr:to>
    <xdr:sp macro="" textlink="">
      <xdr:nvSpPr>
        <xdr:cNvPr id="10" name="TextBox 9">
          <a:hlinkClick xmlns:r="http://schemas.openxmlformats.org/officeDocument/2006/relationships" r:id="rId5"/>
          <a:extLst>
            <a:ext uri="{FF2B5EF4-FFF2-40B4-BE49-F238E27FC236}">
              <a16:creationId xmlns:a16="http://schemas.microsoft.com/office/drawing/2014/main" id="{9623C529-CF76-46C7-A864-502B2AB81C4C}"/>
            </a:ext>
          </a:extLst>
        </xdr:cNvPr>
        <xdr:cNvSpPr txBox="1"/>
      </xdr:nvSpPr>
      <xdr:spPr>
        <a:xfrm>
          <a:off x="469348" y="3331265"/>
          <a:ext cx="1175026" cy="440082"/>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MONTHLY</a:t>
          </a:r>
        </a:p>
      </xdr:txBody>
    </xdr:sp>
    <xdr:clientData/>
  </xdr:twoCellAnchor>
  <xdr:twoCellAnchor>
    <xdr:from>
      <xdr:col>3</xdr:col>
      <xdr:colOff>317499</xdr:colOff>
      <xdr:row>5</xdr:row>
      <xdr:rowOff>22332</xdr:rowOff>
    </xdr:from>
    <xdr:to>
      <xdr:col>15</xdr:col>
      <xdr:colOff>305741</xdr:colOff>
      <xdr:row>20</xdr:row>
      <xdr:rowOff>31505</xdr:rowOff>
    </xdr:to>
    <xdr:graphicFrame macro="">
      <xdr:nvGraphicFramePr>
        <xdr:cNvPr id="12" name="Chart 11">
          <a:extLst>
            <a:ext uri="{FF2B5EF4-FFF2-40B4-BE49-F238E27FC236}">
              <a16:creationId xmlns:a16="http://schemas.microsoft.com/office/drawing/2014/main" id="{8DCA75B0-E103-4E06-B58A-69F144D2C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342348</xdr:colOff>
      <xdr:row>0</xdr:row>
      <xdr:rowOff>165652</xdr:rowOff>
    </xdr:from>
    <xdr:to>
      <xdr:col>16</xdr:col>
      <xdr:colOff>215348</xdr:colOff>
      <xdr:row>22</xdr:row>
      <xdr:rowOff>154608</xdr:rowOff>
    </xdr:to>
    <xdr:sp macro="" textlink="">
      <xdr:nvSpPr>
        <xdr:cNvPr id="2" name="Rectangle: Rounded Corners 1">
          <a:extLst>
            <a:ext uri="{FF2B5EF4-FFF2-40B4-BE49-F238E27FC236}">
              <a16:creationId xmlns:a16="http://schemas.microsoft.com/office/drawing/2014/main" id="{4EA1EF1B-5CAF-447B-9A08-14A88905238B}"/>
            </a:ext>
          </a:extLst>
        </xdr:cNvPr>
        <xdr:cNvSpPr/>
      </xdr:nvSpPr>
      <xdr:spPr>
        <a:xfrm>
          <a:off x="342348" y="165652"/>
          <a:ext cx="9626600" cy="4040256"/>
        </a:xfrm>
        <a:prstGeom prst="roundRect">
          <a:avLst>
            <a:gd name="adj" fmla="val 25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524564</xdr:colOff>
      <xdr:row>1</xdr:row>
      <xdr:rowOff>38653</xdr:rowOff>
    </xdr:from>
    <xdr:to>
      <xdr:col>16</xdr:col>
      <xdr:colOff>138043</xdr:colOff>
      <xdr:row>22</xdr:row>
      <xdr:rowOff>82826</xdr:rowOff>
    </xdr:to>
    <xdr:sp macro="" textlink="">
      <xdr:nvSpPr>
        <xdr:cNvPr id="3" name="Rectangle: Rounded Corners 2">
          <a:extLst>
            <a:ext uri="{FF2B5EF4-FFF2-40B4-BE49-F238E27FC236}">
              <a16:creationId xmlns:a16="http://schemas.microsoft.com/office/drawing/2014/main" id="{09D2164B-08E4-4A90-82D5-A90590F3C505}"/>
            </a:ext>
          </a:extLst>
        </xdr:cNvPr>
        <xdr:cNvSpPr/>
      </xdr:nvSpPr>
      <xdr:spPr>
        <a:xfrm>
          <a:off x="1743764" y="222803"/>
          <a:ext cx="8147879" cy="3911323"/>
        </a:xfrm>
        <a:prstGeom prst="roundRect">
          <a:avLst>
            <a:gd name="adj" fmla="val 2795"/>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49696</xdr:colOff>
      <xdr:row>1</xdr:row>
      <xdr:rowOff>138044</xdr:rowOff>
    </xdr:from>
    <xdr:to>
      <xdr:col>16</xdr:col>
      <xdr:colOff>27609</xdr:colOff>
      <xdr:row>21</xdr:row>
      <xdr:rowOff>154609</xdr:rowOff>
    </xdr:to>
    <xdr:sp macro="" textlink="">
      <xdr:nvSpPr>
        <xdr:cNvPr id="4" name="Rectangle 3">
          <a:extLst>
            <a:ext uri="{FF2B5EF4-FFF2-40B4-BE49-F238E27FC236}">
              <a16:creationId xmlns:a16="http://schemas.microsoft.com/office/drawing/2014/main" id="{493C7550-141E-4B58-8852-C38261E45464}"/>
            </a:ext>
          </a:extLst>
        </xdr:cNvPr>
        <xdr:cNvSpPr/>
      </xdr:nvSpPr>
      <xdr:spPr>
        <a:xfrm>
          <a:off x="1878496" y="322194"/>
          <a:ext cx="7902713" cy="369956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123268</xdr:colOff>
      <xdr:row>2</xdr:row>
      <xdr:rowOff>17587</xdr:rowOff>
    </xdr:from>
    <xdr:to>
      <xdr:col>6</xdr:col>
      <xdr:colOff>258703</xdr:colOff>
      <xdr:row>3</xdr:row>
      <xdr:rowOff>122551</xdr:rowOff>
    </xdr:to>
    <xdr:sp macro="" textlink="">
      <xdr:nvSpPr>
        <xdr:cNvPr id="5" name="TextBox 4">
          <a:extLst>
            <a:ext uri="{FF2B5EF4-FFF2-40B4-BE49-F238E27FC236}">
              <a16:creationId xmlns:a16="http://schemas.microsoft.com/office/drawing/2014/main" id="{10BAE551-9181-4A3E-8547-52881FE9FB02}"/>
            </a:ext>
          </a:extLst>
        </xdr:cNvPr>
        <xdr:cNvSpPr txBox="1"/>
      </xdr:nvSpPr>
      <xdr:spPr>
        <a:xfrm>
          <a:off x="1957712" y="382124"/>
          <a:ext cx="1969880" cy="287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Top 5 Customers:</a:t>
          </a:r>
          <a:endParaRPr lang="en-IN" sz="1400" b="1"/>
        </a:p>
      </xdr:txBody>
    </xdr:sp>
    <xdr:clientData/>
  </xdr:twoCellAnchor>
  <xdr:twoCellAnchor>
    <xdr:from>
      <xdr:col>0</xdr:col>
      <xdr:colOff>469348</xdr:colOff>
      <xdr:row>6</xdr:row>
      <xdr:rowOff>171174</xdr:rowOff>
    </xdr:from>
    <xdr:to>
      <xdr:col>2</xdr:col>
      <xdr:colOff>425174</xdr:colOff>
      <xdr:row>9</xdr:row>
      <xdr:rowOff>60738</xdr:rowOff>
    </xdr:to>
    <xdr:sp macro="" textlink="">
      <xdr:nvSpPr>
        <xdr:cNvPr id="6" name="TextBox 5">
          <a:hlinkClick xmlns:r="http://schemas.openxmlformats.org/officeDocument/2006/relationships" r:id="rId1"/>
          <a:extLst>
            <a:ext uri="{FF2B5EF4-FFF2-40B4-BE49-F238E27FC236}">
              <a16:creationId xmlns:a16="http://schemas.microsoft.com/office/drawing/2014/main" id="{7E3114A8-9A99-4F4A-B291-7204B3DE3E86}"/>
            </a:ext>
          </a:extLst>
        </xdr:cNvPr>
        <xdr:cNvSpPr txBox="1"/>
      </xdr:nvSpPr>
      <xdr:spPr>
        <a:xfrm>
          <a:off x="469348" y="1276074"/>
          <a:ext cx="1175026" cy="442014"/>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KPI'S</a:t>
          </a:r>
        </a:p>
      </xdr:txBody>
    </xdr:sp>
    <xdr:clientData/>
  </xdr:twoCellAnchor>
  <xdr:twoCellAnchor>
    <xdr:from>
      <xdr:col>0</xdr:col>
      <xdr:colOff>469348</xdr:colOff>
      <xdr:row>9</xdr:row>
      <xdr:rowOff>127000</xdr:rowOff>
    </xdr:from>
    <xdr:to>
      <xdr:col>2</xdr:col>
      <xdr:colOff>425174</xdr:colOff>
      <xdr:row>12</xdr:row>
      <xdr:rowOff>16565</xdr:rowOff>
    </xdr:to>
    <xdr:sp macro="" textlink="">
      <xdr:nvSpPr>
        <xdr:cNvPr id="7" name="TextBox 6">
          <a:hlinkClick xmlns:r="http://schemas.openxmlformats.org/officeDocument/2006/relationships" r:id="rId2"/>
          <a:extLst>
            <a:ext uri="{FF2B5EF4-FFF2-40B4-BE49-F238E27FC236}">
              <a16:creationId xmlns:a16="http://schemas.microsoft.com/office/drawing/2014/main" id="{F039F4DA-6482-427E-A0CF-978F56B5C0DB}"/>
            </a:ext>
          </a:extLst>
        </xdr:cNvPr>
        <xdr:cNvSpPr txBox="1"/>
      </xdr:nvSpPr>
      <xdr:spPr>
        <a:xfrm>
          <a:off x="469348" y="1784350"/>
          <a:ext cx="1175026" cy="442015"/>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PRODUCT</a:t>
          </a:r>
        </a:p>
      </xdr:txBody>
    </xdr:sp>
    <xdr:clientData/>
  </xdr:twoCellAnchor>
  <xdr:twoCellAnchor>
    <xdr:from>
      <xdr:col>0</xdr:col>
      <xdr:colOff>469348</xdr:colOff>
      <xdr:row>12</xdr:row>
      <xdr:rowOff>82826</xdr:rowOff>
    </xdr:from>
    <xdr:to>
      <xdr:col>2</xdr:col>
      <xdr:colOff>425174</xdr:colOff>
      <xdr:row>14</xdr:row>
      <xdr:rowOff>154609</xdr:rowOff>
    </xdr:to>
    <xdr:sp macro="" textlink="">
      <xdr:nvSpPr>
        <xdr:cNvPr id="8" name="TextBox 7">
          <a:hlinkClick xmlns:r="http://schemas.openxmlformats.org/officeDocument/2006/relationships" r:id="rId3"/>
          <a:extLst>
            <a:ext uri="{FF2B5EF4-FFF2-40B4-BE49-F238E27FC236}">
              <a16:creationId xmlns:a16="http://schemas.microsoft.com/office/drawing/2014/main" id="{E49FDEE9-2085-48CD-BDC9-6031D9A23573}"/>
            </a:ext>
          </a:extLst>
        </xdr:cNvPr>
        <xdr:cNvSpPr txBox="1"/>
      </xdr:nvSpPr>
      <xdr:spPr>
        <a:xfrm>
          <a:off x="469348" y="2292626"/>
          <a:ext cx="1175026" cy="440083"/>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REGION</a:t>
          </a:r>
        </a:p>
      </xdr:txBody>
    </xdr:sp>
    <xdr:clientData/>
  </xdr:twoCellAnchor>
  <xdr:twoCellAnchor>
    <xdr:from>
      <xdr:col>0</xdr:col>
      <xdr:colOff>469348</xdr:colOff>
      <xdr:row>15</xdr:row>
      <xdr:rowOff>49696</xdr:rowOff>
    </xdr:from>
    <xdr:to>
      <xdr:col>2</xdr:col>
      <xdr:colOff>425174</xdr:colOff>
      <xdr:row>17</xdr:row>
      <xdr:rowOff>121478</xdr:rowOff>
    </xdr:to>
    <xdr:sp macro="" textlink="">
      <xdr:nvSpPr>
        <xdr:cNvPr id="9" name="TextBox 8">
          <a:hlinkClick xmlns:r="http://schemas.openxmlformats.org/officeDocument/2006/relationships" r:id="rId4"/>
          <a:extLst>
            <a:ext uri="{FF2B5EF4-FFF2-40B4-BE49-F238E27FC236}">
              <a16:creationId xmlns:a16="http://schemas.microsoft.com/office/drawing/2014/main" id="{271F9A3E-5E7F-4B83-B35B-2C8CB11C067B}"/>
            </a:ext>
          </a:extLst>
        </xdr:cNvPr>
        <xdr:cNvSpPr txBox="1"/>
      </xdr:nvSpPr>
      <xdr:spPr>
        <a:xfrm>
          <a:off x="469348" y="2811946"/>
          <a:ext cx="1175026" cy="440082"/>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CUSTOMER</a:t>
          </a:r>
        </a:p>
      </xdr:txBody>
    </xdr:sp>
    <xdr:clientData/>
  </xdr:twoCellAnchor>
  <xdr:twoCellAnchor>
    <xdr:from>
      <xdr:col>0</xdr:col>
      <xdr:colOff>469348</xdr:colOff>
      <xdr:row>18</xdr:row>
      <xdr:rowOff>16565</xdr:rowOff>
    </xdr:from>
    <xdr:to>
      <xdr:col>2</xdr:col>
      <xdr:colOff>425174</xdr:colOff>
      <xdr:row>20</xdr:row>
      <xdr:rowOff>88347</xdr:rowOff>
    </xdr:to>
    <xdr:sp macro="" textlink="">
      <xdr:nvSpPr>
        <xdr:cNvPr id="10" name="TextBox 9">
          <a:hlinkClick xmlns:r="http://schemas.openxmlformats.org/officeDocument/2006/relationships" r:id="rId5"/>
          <a:extLst>
            <a:ext uri="{FF2B5EF4-FFF2-40B4-BE49-F238E27FC236}">
              <a16:creationId xmlns:a16="http://schemas.microsoft.com/office/drawing/2014/main" id="{627F0C3B-4D56-4B6F-96C6-F2882CFB6319}"/>
            </a:ext>
          </a:extLst>
        </xdr:cNvPr>
        <xdr:cNvSpPr txBox="1"/>
      </xdr:nvSpPr>
      <xdr:spPr>
        <a:xfrm>
          <a:off x="469348" y="3331265"/>
          <a:ext cx="1175026" cy="440082"/>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MONTHLY</a:t>
          </a:r>
        </a:p>
      </xdr:txBody>
    </xdr:sp>
    <xdr:clientData/>
  </xdr:twoCellAnchor>
  <xdr:twoCellAnchor>
    <xdr:from>
      <xdr:col>4</xdr:col>
      <xdr:colOff>105834</xdr:colOff>
      <xdr:row>4</xdr:row>
      <xdr:rowOff>175204</xdr:rowOff>
    </xdr:from>
    <xdr:to>
      <xdr:col>14</xdr:col>
      <xdr:colOff>229305</xdr:colOff>
      <xdr:row>20</xdr:row>
      <xdr:rowOff>2108</xdr:rowOff>
    </xdr:to>
    <xdr:graphicFrame macro="">
      <xdr:nvGraphicFramePr>
        <xdr:cNvPr id="12" name="Chart 11">
          <a:extLst>
            <a:ext uri="{FF2B5EF4-FFF2-40B4-BE49-F238E27FC236}">
              <a16:creationId xmlns:a16="http://schemas.microsoft.com/office/drawing/2014/main" id="{6291531D-7B9C-49E9-BDB4-A691CFBB4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342348</xdr:colOff>
      <xdr:row>0</xdr:row>
      <xdr:rowOff>165652</xdr:rowOff>
    </xdr:from>
    <xdr:to>
      <xdr:col>16</xdr:col>
      <xdr:colOff>215348</xdr:colOff>
      <xdr:row>22</xdr:row>
      <xdr:rowOff>154608</xdr:rowOff>
    </xdr:to>
    <xdr:sp macro="" textlink="">
      <xdr:nvSpPr>
        <xdr:cNvPr id="2" name="Rectangle: Rounded Corners 1">
          <a:extLst>
            <a:ext uri="{FF2B5EF4-FFF2-40B4-BE49-F238E27FC236}">
              <a16:creationId xmlns:a16="http://schemas.microsoft.com/office/drawing/2014/main" id="{FC4BED14-5136-4055-BE4C-D4A0A4D2AD9C}"/>
            </a:ext>
          </a:extLst>
        </xdr:cNvPr>
        <xdr:cNvSpPr/>
      </xdr:nvSpPr>
      <xdr:spPr>
        <a:xfrm>
          <a:off x="342348" y="165652"/>
          <a:ext cx="9626600" cy="4040256"/>
        </a:xfrm>
        <a:prstGeom prst="roundRect">
          <a:avLst>
            <a:gd name="adj" fmla="val 25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524564</xdr:colOff>
      <xdr:row>1</xdr:row>
      <xdr:rowOff>38653</xdr:rowOff>
    </xdr:from>
    <xdr:to>
      <xdr:col>16</xdr:col>
      <xdr:colOff>138043</xdr:colOff>
      <xdr:row>22</xdr:row>
      <xdr:rowOff>82826</xdr:rowOff>
    </xdr:to>
    <xdr:sp macro="" textlink="">
      <xdr:nvSpPr>
        <xdr:cNvPr id="3" name="Rectangle: Rounded Corners 2">
          <a:extLst>
            <a:ext uri="{FF2B5EF4-FFF2-40B4-BE49-F238E27FC236}">
              <a16:creationId xmlns:a16="http://schemas.microsoft.com/office/drawing/2014/main" id="{3DE15233-F914-44BD-921D-F6C411A7A99C}"/>
            </a:ext>
          </a:extLst>
        </xdr:cNvPr>
        <xdr:cNvSpPr/>
      </xdr:nvSpPr>
      <xdr:spPr>
        <a:xfrm>
          <a:off x="1743764" y="222803"/>
          <a:ext cx="8147879" cy="3911323"/>
        </a:xfrm>
        <a:prstGeom prst="roundRect">
          <a:avLst>
            <a:gd name="adj" fmla="val 2795"/>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49696</xdr:colOff>
      <xdr:row>1</xdr:row>
      <xdr:rowOff>138044</xdr:rowOff>
    </xdr:from>
    <xdr:to>
      <xdr:col>16</xdr:col>
      <xdr:colOff>27609</xdr:colOff>
      <xdr:row>21</xdr:row>
      <xdr:rowOff>154609</xdr:rowOff>
    </xdr:to>
    <xdr:sp macro="" textlink="">
      <xdr:nvSpPr>
        <xdr:cNvPr id="4" name="Rectangle 3">
          <a:extLst>
            <a:ext uri="{FF2B5EF4-FFF2-40B4-BE49-F238E27FC236}">
              <a16:creationId xmlns:a16="http://schemas.microsoft.com/office/drawing/2014/main" id="{3F130AF8-B3A3-4382-A67E-B5AF7455F7E9}"/>
            </a:ext>
          </a:extLst>
        </xdr:cNvPr>
        <xdr:cNvSpPr/>
      </xdr:nvSpPr>
      <xdr:spPr>
        <a:xfrm>
          <a:off x="1878496" y="322194"/>
          <a:ext cx="7902713" cy="369956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93869</xdr:colOff>
      <xdr:row>1</xdr:row>
      <xdr:rowOff>182217</xdr:rowOff>
    </xdr:from>
    <xdr:to>
      <xdr:col>6</xdr:col>
      <xdr:colOff>252823</xdr:colOff>
      <xdr:row>3</xdr:row>
      <xdr:rowOff>104913</xdr:rowOff>
    </xdr:to>
    <xdr:sp macro="" textlink="">
      <xdr:nvSpPr>
        <xdr:cNvPr id="5" name="TextBox 4">
          <a:extLst>
            <a:ext uri="{FF2B5EF4-FFF2-40B4-BE49-F238E27FC236}">
              <a16:creationId xmlns:a16="http://schemas.microsoft.com/office/drawing/2014/main" id="{49D457FB-4C1D-4E00-865F-F5C47EF465AE}"/>
            </a:ext>
          </a:extLst>
        </xdr:cNvPr>
        <xdr:cNvSpPr txBox="1"/>
      </xdr:nvSpPr>
      <xdr:spPr>
        <a:xfrm>
          <a:off x="1928313" y="364486"/>
          <a:ext cx="1993399" cy="287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Revenue By</a:t>
          </a:r>
          <a:r>
            <a:rPr lang="en-IN" sz="1400" b="1" baseline="0"/>
            <a:t> Regions:</a:t>
          </a:r>
          <a:endParaRPr lang="en-IN" sz="1400" b="1"/>
        </a:p>
      </xdr:txBody>
    </xdr:sp>
    <xdr:clientData/>
  </xdr:twoCellAnchor>
  <xdr:twoCellAnchor>
    <xdr:from>
      <xdr:col>0</xdr:col>
      <xdr:colOff>469348</xdr:colOff>
      <xdr:row>6</xdr:row>
      <xdr:rowOff>171174</xdr:rowOff>
    </xdr:from>
    <xdr:to>
      <xdr:col>2</xdr:col>
      <xdr:colOff>425174</xdr:colOff>
      <xdr:row>9</xdr:row>
      <xdr:rowOff>60738</xdr:rowOff>
    </xdr:to>
    <xdr:sp macro="" textlink="">
      <xdr:nvSpPr>
        <xdr:cNvPr id="7" name="TextBox 6">
          <a:hlinkClick xmlns:r="http://schemas.openxmlformats.org/officeDocument/2006/relationships" r:id="rId1"/>
          <a:extLst>
            <a:ext uri="{FF2B5EF4-FFF2-40B4-BE49-F238E27FC236}">
              <a16:creationId xmlns:a16="http://schemas.microsoft.com/office/drawing/2014/main" id="{D872E952-DA7D-452C-A7A3-1555F49AA168}"/>
            </a:ext>
          </a:extLst>
        </xdr:cNvPr>
        <xdr:cNvSpPr txBox="1"/>
      </xdr:nvSpPr>
      <xdr:spPr>
        <a:xfrm>
          <a:off x="469348" y="1276074"/>
          <a:ext cx="1175026" cy="442014"/>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KPI'S</a:t>
          </a:r>
        </a:p>
      </xdr:txBody>
    </xdr:sp>
    <xdr:clientData/>
  </xdr:twoCellAnchor>
  <xdr:twoCellAnchor>
    <xdr:from>
      <xdr:col>0</xdr:col>
      <xdr:colOff>469348</xdr:colOff>
      <xdr:row>9</xdr:row>
      <xdr:rowOff>127000</xdr:rowOff>
    </xdr:from>
    <xdr:to>
      <xdr:col>2</xdr:col>
      <xdr:colOff>425174</xdr:colOff>
      <xdr:row>12</xdr:row>
      <xdr:rowOff>16565</xdr:rowOff>
    </xdr:to>
    <xdr:sp macro="" textlink="">
      <xdr:nvSpPr>
        <xdr:cNvPr id="8" name="TextBox 7">
          <a:hlinkClick xmlns:r="http://schemas.openxmlformats.org/officeDocument/2006/relationships" r:id="rId2"/>
          <a:extLst>
            <a:ext uri="{FF2B5EF4-FFF2-40B4-BE49-F238E27FC236}">
              <a16:creationId xmlns:a16="http://schemas.microsoft.com/office/drawing/2014/main" id="{A8CCA5C6-AB48-451C-AC33-99976A97672F}"/>
            </a:ext>
          </a:extLst>
        </xdr:cNvPr>
        <xdr:cNvSpPr txBox="1"/>
      </xdr:nvSpPr>
      <xdr:spPr>
        <a:xfrm>
          <a:off x="469348" y="1784350"/>
          <a:ext cx="1175026" cy="442015"/>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PRODUCT</a:t>
          </a:r>
        </a:p>
      </xdr:txBody>
    </xdr:sp>
    <xdr:clientData/>
  </xdr:twoCellAnchor>
  <xdr:twoCellAnchor>
    <xdr:from>
      <xdr:col>0</xdr:col>
      <xdr:colOff>469348</xdr:colOff>
      <xdr:row>12</xdr:row>
      <xdr:rowOff>82826</xdr:rowOff>
    </xdr:from>
    <xdr:to>
      <xdr:col>2</xdr:col>
      <xdr:colOff>425174</xdr:colOff>
      <xdr:row>14</xdr:row>
      <xdr:rowOff>154609</xdr:rowOff>
    </xdr:to>
    <xdr:sp macro="" textlink="">
      <xdr:nvSpPr>
        <xdr:cNvPr id="9" name="TextBox 8">
          <a:extLst>
            <a:ext uri="{FF2B5EF4-FFF2-40B4-BE49-F238E27FC236}">
              <a16:creationId xmlns:a16="http://schemas.microsoft.com/office/drawing/2014/main" id="{05BBFB30-3FFE-491F-9E02-00B0FFD7018D}"/>
            </a:ext>
          </a:extLst>
        </xdr:cNvPr>
        <xdr:cNvSpPr txBox="1"/>
      </xdr:nvSpPr>
      <xdr:spPr>
        <a:xfrm>
          <a:off x="469348" y="2292626"/>
          <a:ext cx="1175026" cy="440083"/>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REGION</a:t>
          </a:r>
        </a:p>
      </xdr:txBody>
    </xdr:sp>
    <xdr:clientData/>
  </xdr:twoCellAnchor>
  <xdr:twoCellAnchor>
    <xdr:from>
      <xdr:col>0</xdr:col>
      <xdr:colOff>469348</xdr:colOff>
      <xdr:row>15</xdr:row>
      <xdr:rowOff>49696</xdr:rowOff>
    </xdr:from>
    <xdr:to>
      <xdr:col>2</xdr:col>
      <xdr:colOff>425174</xdr:colOff>
      <xdr:row>17</xdr:row>
      <xdr:rowOff>121478</xdr:rowOff>
    </xdr:to>
    <xdr:sp macro="" textlink="">
      <xdr:nvSpPr>
        <xdr:cNvPr id="10" name="TextBox 9">
          <a:hlinkClick xmlns:r="http://schemas.openxmlformats.org/officeDocument/2006/relationships" r:id="rId3"/>
          <a:extLst>
            <a:ext uri="{FF2B5EF4-FFF2-40B4-BE49-F238E27FC236}">
              <a16:creationId xmlns:a16="http://schemas.microsoft.com/office/drawing/2014/main" id="{DF9E38A0-B3F9-44F7-A90D-D9647C8339BA}"/>
            </a:ext>
          </a:extLst>
        </xdr:cNvPr>
        <xdr:cNvSpPr txBox="1"/>
      </xdr:nvSpPr>
      <xdr:spPr>
        <a:xfrm>
          <a:off x="469348" y="2811946"/>
          <a:ext cx="1175026" cy="440082"/>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CUSTOMER</a:t>
          </a:r>
        </a:p>
      </xdr:txBody>
    </xdr:sp>
    <xdr:clientData/>
  </xdr:twoCellAnchor>
  <xdr:twoCellAnchor>
    <xdr:from>
      <xdr:col>0</xdr:col>
      <xdr:colOff>469348</xdr:colOff>
      <xdr:row>18</xdr:row>
      <xdr:rowOff>16565</xdr:rowOff>
    </xdr:from>
    <xdr:to>
      <xdr:col>2</xdr:col>
      <xdr:colOff>425174</xdr:colOff>
      <xdr:row>20</xdr:row>
      <xdr:rowOff>88347</xdr:rowOff>
    </xdr:to>
    <xdr:sp macro="" textlink="">
      <xdr:nvSpPr>
        <xdr:cNvPr id="11" name="TextBox 10">
          <a:hlinkClick xmlns:r="http://schemas.openxmlformats.org/officeDocument/2006/relationships" r:id="rId4"/>
          <a:extLst>
            <a:ext uri="{FF2B5EF4-FFF2-40B4-BE49-F238E27FC236}">
              <a16:creationId xmlns:a16="http://schemas.microsoft.com/office/drawing/2014/main" id="{05BA6F11-9CA2-4B78-B7DE-8F3BA9CD13ED}"/>
            </a:ext>
          </a:extLst>
        </xdr:cNvPr>
        <xdr:cNvSpPr txBox="1"/>
      </xdr:nvSpPr>
      <xdr:spPr>
        <a:xfrm>
          <a:off x="469348" y="3331265"/>
          <a:ext cx="1175026" cy="440082"/>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MONTHLY</a:t>
          </a:r>
        </a:p>
      </xdr:txBody>
    </xdr:sp>
    <xdr:clientData/>
  </xdr:twoCellAnchor>
  <xdr:twoCellAnchor>
    <xdr:from>
      <xdr:col>3</xdr:col>
      <xdr:colOff>570323</xdr:colOff>
      <xdr:row>3</xdr:row>
      <xdr:rowOff>11758</xdr:rowOff>
    </xdr:from>
    <xdr:to>
      <xdr:col>13</xdr:col>
      <xdr:colOff>152870</xdr:colOff>
      <xdr:row>20</xdr:row>
      <xdr:rowOff>105834</xdr:rowOff>
    </xdr:to>
    <xdr:graphicFrame macro="">
      <xdr:nvGraphicFramePr>
        <xdr:cNvPr id="12" name="Chart 11">
          <a:extLst>
            <a:ext uri="{FF2B5EF4-FFF2-40B4-BE49-F238E27FC236}">
              <a16:creationId xmlns:a16="http://schemas.microsoft.com/office/drawing/2014/main" id="{97310510-E90F-44BA-8C7F-B6BBA9171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342348</xdr:colOff>
      <xdr:row>0</xdr:row>
      <xdr:rowOff>165652</xdr:rowOff>
    </xdr:from>
    <xdr:to>
      <xdr:col>16</xdr:col>
      <xdr:colOff>215348</xdr:colOff>
      <xdr:row>22</xdr:row>
      <xdr:rowOff>154608</xdr:rowOff>
    </xdr:to>
    <xdr:sp macro="" textlink="">
      <xdr:nvSpPr>
        <xdr:cNvPr id="3" name="Rectangle: Rounded Corners 2">
          <a:extLst>
            <a:ext uri="{FF2B5EF4-FFF2-40B4-BE49-F238E27FC236}">
              <a16:creationId xmlns:a16="http://schemas.microsoft.com/office/drawing/2014/main" id="{26F3BC66-9FCD-4E3A-A42B-F7A1256414AF}"/>
            </a:ext>
          </a:extLst>
        </xdr:cNvPr>
        <xdr:cNvSpPr/>
      </xdr:nvSpPr>
      <xdr:spPr>
        <a:xfrm>
          <a:off x="342348" y="165652"/>
          <a:ext cx="9591261" cy="3997739"/>
        </a:xfrm>
        <a:prstGeom prst="roundRect">
          <a:avLst>
            <a:gd name="adj" fmla="val 25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524564</xdr:colOff>
      <xdr:row>1</xdr:row>
      <xdr:rowOff>38653</xdr:rowOff>
    </xdr:from>
    <xdr:to>
      <xdr:col>16</xdr:col>
      <xdr:colOff>138043</xdr:colOff>
      <xdr:row>22</xdr:row>
      <xdr:rowOff>82826</xdr:rowOff>
    </xdr:to>
    <xdr:sp macro="" textlink="">
      <xdr:nvSpPr>
        <xdr:cNvPr id="4" name="Rectangle: Rounded Corners 3">
          <a:extLst>
            <a:ext uri="{FF2B5EF4-FFF2-40B4-BE49-F238E27FC236}">
              <a16:creationId xmlns:a16="http://schemas.microsoft.com/office/drawing/2014/main" id="{DF519FEF-EDC6-4884-8591-9BF355A7EA15}"/>
            </a:ext>
          </a:extLst>
        </xdr:cNvPr>
        <xdr:cNvSpPr/>
      </xdr:nvSpPr>
      <xdr:spPr>
        <a:xfrm>
          <a:off x="1739347" y="220870"/>
          <a:ext cx="8116957" cy="3870739"/>
        </a:xfrm>
        <a:prstGeom prst="roundRect">
          <a:avLst>
            <a:gd name="adj" fmla="val 2795"/>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49696</xdr:colOff>
      <xdr:row>1</xdr:row>
      <xdr:rowOff>138044</xdr:rowOff>
    </xdr:from>
    <xdr:to>
      <xdr:col>16</xdr:col>
      <xdr:colOff>27609</xdr:colOff>
      <xdr:row>21</xdr:row>
      <xdr:rowOff>154609</xdr:rowOff>
    </xdr:to>
    <xdr:sp macro="" textlink="">
      <xdr:nvSpPr>
        <xdr:cNvPr id="49" name="Rectangle 48">
          <a:extLst>
            <a:ext uri="{FF2B5EF4-FFF2-40B4-BE49-F238E27FC236}">
              <a16:creationId xmlns:a16="http://schemas.microsoft.com/office/drawing/2014/main" id="{1FEEFEC1-3B1B-4485-A177-9DD10E81988C}"/>
            </a:ext>
          </a:extLst>
        </xdr:cNvPr>
        <xdr:cNvSpPr/>
      </xdr:nvSpPr>
      <xdr:spPr>
        <a:xfrm>
          <a:off x="1871870" y="320261"/>
          <a:ext cx="7874000" cy="366091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93870</xdr:colOff>
      <xdr:row>1</xdr:row>
      <xdr:rowOff>182217</xdr:rowOff>
    </xdr:from>
    <xdr:to>
      <xdr:col>6</xdr:col>
      <xdr:colOff>558565</xdr:colOff>
      <xdr:row>3</xdr:row>
      <xdr:rowOff>104913</xdr:rowOff>
    </xdr:to>
    <xdr:sp macro="" textlink="">
      <xdr:nvSpPr>
        <xdr:cNvPr id="50" name="TextBox 49">
          <a:extLst>
            <a:ext uri="{FF2B5EF4-FFF2-40B4-BE49-F238E27FC236}">
              <a16:creationId xmlns:a16="http://schemas.microsoft.com/office/drawing/2014/main" id="{51098BBA-C072-435F-831F-2E4270290510}"/>
            </a:ext>
          </a:extLst>
        </xdr:cNvPr>
        <xdr:cNvSpPr txBox="1"/>
      </xdr:nvSpPr>
      <xdr:spPr>
        <a:xfrm>
          <a:off x="1928314" y="364486"/>
          <a:ext cx="2299140" cy="287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Revenue By</a:t>
          </a:r>
          <a:r>
            <a:rPr lang="en-IN" sz="1400" b="1" baseline="0"/>
            <a:t> Products:</a:t>
          </a:r>
          <a:endParaRPr lang="en-IN" sz="1400" b="1"/>
        </a:p>
      </xdr:txBody>
    </xdr:sp>
    <xdr:clientData/>
  </xdr:twoCellAnchor>
  <xdr:twoCellAnchor>
    <xdr:from>
      <xdr:col>4</xdr:col>
      <xdr:colOff>16566</xdr:colOff>
      <xdr:row>3</xdr:row>
      <xdr:rowOff>66260</xdr:rowOff>
    </xdr:from>
    <xdr:to>
      <xdr:col>15</xdr:col>
      <xdr:colOff>160130</xdr:colOff>
      <xdr:row>21</xdr:row>
      <xdr:rowOff>154608</xdr:rowOff>
    </xdr:to>
    <xdr:graphicFrame macro="">
      <xdr:nvGraphicFramePr>
        <xdr:cNvPr id="51" name="Chart 50">
          <a:extLst>
            <a:ext uri="{FF2B5EF4-FFF2-40B4-BE49-F238E27FC236}">
              <a16:creationId xmlns:a16="http://schemas.microsoft.com/office/drawing/2014/main" id="{5165C20C-86A0-4054-B42E-45D6DE8C8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469348</xdr:colOff>
      <xdr:row>6</xdr:row>
      <xdr:rowOff>171174</xdr:rowOff>
    </xdr:from>
    <xdr:to>
      <xdr:col>2</xdr:col>
      <xdr:colOff>425174</xdr:colOff>
      <xdr:row>9</xdr:row>
      <xdr:rowOff>60738</xdr:rowOff>
    </xdr:to>
    <xdr:sp macro="" textlink="">
      <xdr:nvSpPr>
        <xdr:cNvPr id="53" name="TextBox 52">
          <a:hlinkClick xmlns:r="http://schemas.openxmlformats.org/officeDocument/2006/relationships" r:id="rId2"/>
          <a:extLst>
            <a:ext uri="{FF2B5EF4-FFF2-40B4-BE49-F238E27FC236}">
              <a16:creationId xmlns:a16="http://schemas.microsoft.com/office/drawing/2014/main" id="{B27CA3E3-1BC0-4CFD-B149-35330E03A3B8}"/>
            </a:ext>
          </a:extLst>
        </xdr:cNvPr>
        <xdr:cNvSpPr txBox="1"/>
      </xdr:nvSpPr>
      <xdr:spPr>
        <a:xfrm>
          <a:off x="469348" y="1264478"/>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KPI'S</a:t>
          </a:r>
        </a:p>
      </xdr:txBody>
    </xdr:sp>
    <xdr:clientData/>
  </xdr:twoCellAnchor>
  <xdr:twoCellAnchor>
    <xdr:from>
      <xdr:col>0</xdr:col>
      <xdr:colOff>469348</xdr:colOff>
      <xdr:row>9</xdr:row>
      <xdr:rowOff>127000</xdr:rowOff>
    </xdr:from>
    <xdr:to>
      <xdr:col>2</xdr:col>
      <xdr:colOff>425174</xdr:colOff>
      <xdr:row>12</xdr:row>
      <xdr:rowOff>16565</xdr:rowOff>
    </xdr:to>
    <xdr:sp macro="" textlink="">
      <xdr:nvSpPr>
        <xdr:cNvPr id="54" name="TextBox 53">
          <a:hlinkClick xmlns:r="http://schemas.openxmlformats.org/officeDocument/2006/relationships" r:id="rId3"/>
          <a:extLst>
            <a:ext uri="{FF2B5EF4-FFF2-40B4-BE49-F238E27FC236}">
              <a16:creationId xmlns:a16="http://schemas.microsoft.com/office/drawing/2014/main" id="{7BB55C8D-AFF5-4B37-B5E3-84A2B257E69D}"/>
            </a:ext>
          </a:extLst>
        </xdr:cNvPr>
        <xdr:cNvSpPr txBox="1"/>
      </xdr:nvSpPr>
      <xdr:spPr>
        <a:xfrm>
          <a:off x="469348" y="1766957"/>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PRODUCT</a:t>
          </a:r>
        </a:p>
      </xdr:txBody>
    </xdr:sp>
    <xdr:clientData/>
  </xdr:twoCellAnchor>
  <xdr:twoCellAnchor>
    <xdr:from>
      <xdr:col>0</xdr:col>
      <xdr:colOff>469348</xdr:colOff>
      <xdr:row>12</xdr:row>
      <xdr:rowOff>82826</xdr:rowOff>
    </xdr:from>
    <xdr:to>
      <xdr:col>2</xdr:col>
      <xdr:colOff>425174</xdr:colOff>
      <xdr:row>14</xdr:row>
      <xdr:rowOff>154609</xdr:rowOff>
    </xdr:to>
    <xdr:sp macro="" textlink="">
      <xdr:nvSpPr>
        <xdr:cNvPr id="55" name="TextBox 54">
          <a:hlinkClick xmlns:r="http://schemas.openxmlformats.org/officeDocument/2006/relationships" r:id="rId4"/>
          <a:extLst>
            <a:ext uri="{FF2B5EF4-FFF2-40B4-BE49-F238E27FC236}">
              <a16:creationId xmlns:a16="http://schemas.microsoft.com/office/drawing/2014/main" id="{671FCCE3-C3E9-44B9-83BA-5A4343CE01E5}"/>
            </a:ext>
          </a:extLst>
        </xdr:cNvPr>
        <xdr:cNvSpPr txBox="1"/>
      </xdr:nvSpPr>
      <xdr:spPr>
        <a:xfrm>
          <a:off x="469348" y="2269435"/>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REGION</a:t>
          </a:r>
        </a:p>
      </xdr:txBody>
    </xdr:sp>
    <xdr:clientData/>
  </xdr:twoCellAnchor>
  <xdr:twoCellAnchor>
    <xdr:from>
      <xdr:col>0</xdr:col>
      <xdr:colOff>469348</xdr:colOff>
      <xdr:row>15</xdr:row>
      <xdr:rowOff>49696</xdr:rowOff>
    </xdr:from>
    <xdr:to>
      <xdr:col>2</xdr:col>
      <xdr:colOff>425174</xdr:colOff>
      <xdr:row>17</xdr:row>
      <xdr:rowOff>121478</xdr:rowOff>
    </xdr:to>
    <xdr:sp macro="" textlink="">
      <xdr:nvSpPr>
        <xdr:cNvPr id="56" name="TextBox 55">
          <a:hlinkClick xmlns:r="http://schemas.openxmlformats.org/officeDocument/2006/relationships" r:id="rId5"/>
          <a:extLst>
            <a:ext uri="{FF2B5EF4-FFF2-40B4-BE49-F238E27FC236}">
              <a16:creationId xmlns:a16="http://schemas.microsoft.com/office/drawing/2014/main" id="{AD25B730-562A-4180-9634-04403BADEBFF}"/>
            </a:ext>
          </a:extLst>
        </xdr:cNvPr>
        <xdr:cNvSpPr txBox="1"/>
      </xdr:nvSpPr>
      <xdr:spPr>
        <a:xfrm>
          <a:off x="469348" y="2782957"/>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CUSTOMER</a:t>
          </a:r>
        </a:p>
      </xdr:txBody>
    </xdr:sp>
    <xdr:clientData/>
  </xdr:twoCellAnchor>
  <xdr:twoCellAnchor>
    <xdr:from>
      <xdr:col>0</xdr:col>
      <xdr:colOff>469348</xdr:colOff>
      <xdr:row>18</xdr:row>
      <xdr:rowOff>16565</xdr:rowOff>
    </xdr:from>
    <xdr:to>
      <xdr:col>2</xdr:col>
      <xdr:colOff>425174</xdr:colOff>
      <xdr:row>20</xdr:row>
      <xdr:rowOff>88347</xdr:rowOff>
    </xdr:to>
    <xdr:sp macro="" textlink="">
      <xdr:nvSpPr>
        <xdr:cNvPr id="57" name="TextBox 56">
          <a:hlinkClick xmlns:r="http://schemas.openxmlformats.org/officeDocument/2006/relationships" r:id="rId6"/>
          <a:extLst>
            <a:ext uri="{FF2B5EF4-FFF2-40B4-BE49-F238E27FC236}">
              <a16:creationId xmlns:a16="http://schemas.microsoft.com/office/drawing/2014/main" id="{EA1C9260-4E07-4226-AAEB-D4CE3C03B727}"/>
            </a:ext>
          </a:extLst>
        </xdr:cNvPr>
        <xdr:cNvSpPr txBox="1"/>
      </xdr:nvSpPr>
      <xdr:spPr>
        <a:xfrm>
          <a:off x="469348" y="3296478"/>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MONTHLY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342348</xdr:colOff>
      <xdr:row>0</xdr:row>
      <xdr:rowOff>165652</xdr:rowOff>
    </xdr:from>
    <xdr:to>
      <xdr:col>16</xdr:col>
      <xdr:colOff>215348</xdr:colOff>
      <xdr:row>22</xdr:row>
      <xdr:rowOff>154608</xdr:rowOff>
    </xdr:to>
    <xdr:sp macro="" textlink="">
      <xdr:nvSpPr>
        <xdr:cNvPr id="2" name="Rectangle: Rounded Corners 1">
          <a:extLst>
            <a:ext uri="{FF2B5EF4-FFF2-40B4-BE49-F238E27FC236}">
              <a16:creationId xmlns:a16="http://schemas.microsoft.com/office/drawing/2014/main" id="{8435304D-5616-4813-BB18-3EEB1C524B1F}"/>
            </a:ext>
          </a:extLst>
        </xdr:cNvPr>
        <xdr:cNvSpPr/>
      </xdr:nvSpPr>
      <xdr:spPr>
        <a:xfrm>
          <a:off x="342348" y="165652"/>
          <a:ext cx="9626600" cy="4040256"/>
        </a:xfrm>
        <a:prstGeom prst="roundRect">
          <a:avLst>
            <a:gd name="adj" fmla="val 25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524564</xdr:colOff>
      <xdr:row>1</xdr:row>
      <xdr:rowOff>38653</xdr:rowOff>
    </xdr:from>
    <xdr:to>
      <xdr:col>16</xdr:col>
      <xdr:colOff>138043</xdr:colOff>
      <xdr:row>22</xdr:row>
      <xdr:rowOff>82826</xdr:rowOff>
    </xdr:to>
    <xdr:sp macro="" textlink="">
      <xdr:nvSpPr>
        <xdr:cNvPr id="3" name="Rectangle: Rounded Corners 2">
          <a:extLst>
            <a:ext uri="{FF2B5EF4-FFF2-40B4-BE49-F238E27FC236}">
              <a16:creationId xmlns:a16="http://schemas.microsoft.com/office/drawing/2014/main" id="{D3A30EEE-1C7C-4CDC-A3AF-B0484BD8D9C9}"/>
            </a:ext>
          </a:extLst>
        </xdr:cNvPr>
        <xdr:cNvSpPr/>
      </xdr:nvSpPr>
      <xdr:spPr>
        <a:xfrm>
          <a:off x="1743764" y="222803"/>
          <a:ext cx="8147879" cy="3911323"/>
        </a:xfrm>
        <a:prstGeom prst="roundRect">
          <a:avLst>
            <a:gd name="adj" fmla="val 2795"/>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93869</xdr:colOff>
      <xdr:row>12</xdr:row>
      <xdr:rowOff>29265</xdr:rowOff>
    </xdr:from>
    <xdr:to>
      <xdr:col>9</xdr:col>
      <xdr:colOff>45554</xdr:colOff>
      <xdr:row>16</xdr:row>
      <xdr:rowOff>30646</xdr:rowOff>
    </xdr:to>
    <xdr:sp macro="" textlink="">
      <xdr:nvSpPr>
        <xdr:cNvPr id="5" name="Rectangle: Rounded Corners 4">
          <a:extLst>
            <a:ext uri="{FF2B5EF4-FFF2-40B4-BE49-F238E27FC236}">
              <a16:creationId xmlns:a16="http://schemas.microsoft.com/office/drawing/2014/main" id="{A56F70C3-61F5-4EFF-821F-C896FC43B21E}"/>
            </a:ext>
          </a:extLst>
        </xdr:cNvPr>
        <xdr:cNvSpPr/>
      </xdr:nvSpPr>
      <xdr:spPr>
        <a:xfrm>
          <a:off x="3141869" y="2239065"/>
          <a:ext cx="2390085" cy="737981"/>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182769</xdr:colOff>
      <xdr:row>12</xdr:row>
      <xdr:rowOff>29265</xdr:rowOff>
    </xdr:from>
    <xdr:to>
      <xdr:col>9</xdr:col>
      <xdr:colOff>58254</xdr:colOff>
      <xdr:row>16</xdr:row>
      <xdr:rowOff>30646</xdr:rowOff>
    </xdr:to>
    <xdr:sp macro="" textlink="">
      <xdr:nvSpPr>
        <xdr:cNvPr id="6" name="Rectangle: Rounded Corners 5">
          <a:extLst>
            <a:ext uri="{FF2B5EF4-FFF2-40B4-BE49-F238E27FC236}">
              <a16:creationId xmlns:a16="http://schemas.microsoft.com/office/drawing/2014/main" id="{372069C2-02E9-4D8E-9230-34C7990068D1}"/>
            </a:ext>
          </a:extLst>
        </xdr:cNvPr>
        <xdr:cNvSpPr/>
      </xdr:nvSpPr>
      <xdr:spPr>
        <a:xfrm>
          <a:off x="3219726" y="2215874"/>
          <a:ext cx="2305050" cy="7302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32578</xdr:colOff>
      <xdr:row>12</xdr:row>
      <xdr:rowOff>16565</xdr:rowOff>
    </xdr:from>
    <xdr:to>
      <xdr:col>8</xdr:col>
      <xdr:colOff>68746</xdr:colOff>
      <xdr:row>13</xdr:row>
      <xdr:rowOff>120098</xdr:rowOff>
    </xdr:to>
    <xdr:sp macro="" textlink="">
      <xdr:nvSpPr>
        <xdr:cNvPr id="7" name="TextBox 6">
          <a:extLst>
            <a:ext uri="{FF2B5EF4-FFF2-40B4-BE49-F238E27FC236}">
              <a16:creationId xmlns:a16="http://schemas.microsoft.com/office/drawing/2014/main" id="{9DE0C51C-275A-4320-A799-48FD21B6C527}"/>
            </a:ext>
          </a:extLst>
        </xdr:cNvPr>
        <xdr:cNvSpPr txBox="1"/>
      </xdr:nvSpPr>
      <xdr:spPr>
        <a:xfrm>
          <a:off x="3690178" y="2226365"/>
          <a:ext cx="1255368" cy="287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Revenue</a:t>
          </a:r>
        </a:p>
      </xdr:txBody>
    </xdr:sp>
    <xdr:clientData/>
  </xdr:twoCellAnchor>
  <xdr:twoCellAnchor>
    <xdr:from>
      <xdr:col>9</xdr:col>
      <xdr:colOff>524564</xdr:colOff>
      <xdr:row>12</xdr:row>
      <xdr:rowOff>29265</xdr:rowOff>
    </xdr:from>
    <xdr:to>
      <xdr:col>13</xdr:col>
      <xdr:colOff>476249</xdr:colOff>
      <xdr:row>16</xdr:row>
      <xdr:rowOff>30646</xdr:rowOff>
    </xdr:to>
    <xdr:sp macro="" textlink="">
      <xdr:nvSpPr>
        <xdr:cNvPr id="8" name="Rectangle: Rounded Corners 7">
          <a:extLst>
            <a:ext uri="{FF2B5EF4-FFF2-40B4-BE49-F238E27FC236}">
              <a16:creationId xmlns:a16="http://schemas.microsoft.com/office/drawing/2014/main" id="{ECA43DA4-2311-4DC7-8FF1-D1A0C9F6C98B}"/>
            </a:ext>
          </a:extLst>
        </xdr:cNvPr>
        <xdr:cNvSpPr/>
      </xdr:nvSpPr>
      <xdr:spPr>
        <a:xfrm>
          <a:off x="6010964" y="2239065"/>
          <a:ext cx="2390085" cy="737981"/>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6073</xdr:colOff>
      <xdr:row>12</xdr:row>
      <xdr:rowOff>29265</xdr:rowOff>
    </xdr:from>
    <xdr:to>
      <xdr:col>13</xdr:col>
      <xdr:colOff>488949</xdr:colOff>
      <xdr:row>16</xdr:row>
      <xdr:rowOff>30646</xdr:rowOff>
    </xdr:to>
    <xdr:sp macro="" textlink="">
      <xdr:nvSpPr>
        <xdr:cNvPr id="9" name="Rectangle: Rounded Corners 8">
          <a:extLst>
            <a:ext uri="{FF2B5EF4-FFF2-40B4-BE49-F238E27FC236}">
              <a16:creationId xmlns:a16="http://schemas.microsoft.com/office/drawing/2014/main" id="{98062DE1-8BEC-484E-880B-F96F7327A852}"/>
            </a:ext>
          </a:extLst>
        </xdr:cNvPr>
        <xdr:cNvSpPr/>
      </xdr:nvSpPr>
      <xdr:spPr>
        <a:xfrm>
          <a:off x="6102073" y="2239065"/>
          <a:ext cx="2311676" cy="737981"/>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430142</xdr:colOff>
      <xdr:row>12</xdr:row>
      <xdr:rowOff>11043</xdr:rowOff>
    </xdr:from>
    <xdr:to>
      <xdr:col>13</xdr:col>
      <xdr:colOff>524565</xdr:colOff>
      <xdr:row>13</xdr:row>
      <xdr:rowOff>114576</xdr:rowOff>
    </xdr:to>
    <xdr:sp macro="" textlink="">
      <xdr:nvSpPr>
        <xdr:cNvPr id="10" name="TextBox 9">
          <a:extLst>
            <a:ext uri="{FF2B5EF4-FFF2-40B4-BE49-F238E27FC236}">
              <a16:creationId xmlns:a16="http://schemas.microsoft.com/office/drawing/2014/main" id="{487BC742-2534-4F59-8EE2-7FCCCA72BAD2}"/>
            </a:ext>
          </a:extLst>
        </xdr:cNvPr>
        <xdr:cNvSpPr txBox="1"/>
      </xdr:nvSpPr>
      <xdr:spPr>
        <a:xfrm>
          <a:off x="6526142" y="2220843"/>
          <a:ext cx="1923223" cy="287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a:t>
          </a:r>
          <a:r>
            <a:rPr lang="en-IN" sz="1400" b="1" baseline="0"/>
            <a:t> Order Value</a:t>
          </a:r>
          <a:endParaRPr lang="en-IN" sz="1400" b="1"/>
        </a:p>
      </xdr:txBody>
    </xdr:sp>
    <xdr:clientData/>
  </xdr:twoCellAnchor>
  <xdr:twoCellAnchor editAs="oneCell">
    <xdr:from>
      <xdr:col>10</xdr:col>
      <xdr:colOff>49253</xdr:colOff>
      <xdr:row>13</xdr:row>
      <xdr:rowOff>18499</xdr:rowOff>
    </xdr:from>
    <xdr:to>
      <xdr:col>10</xdr:col>
      <xdr:colOff>394692</xdr:colOff>
      <xdr:row>14</xdr:row>
      <xdr:rowOff>181721</xdr:rowOff>
    </xdr:to>
    <xdr:pic>
      <xdr:nvPicPr>
        <xdr:cNvPr id="11" name="Graphic 10" descr="Bar graph with upward trend with solid fill">
          <a:extLst>
            <a:ext uri="{FF2B5EF4-FFF2-40B4-BE49-F238E27FC236}">
              <a16:creationId xmlns:a16="http://schemas.microsoft.com/office/drawing/2014/main" id="{E5636B6F-48DA-4183-A0C2-A43728DD4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6145253" y="2412449"/>
          <a:ext cx="345439" cy="347372"/>
        </a:xfrm>
        <a:prstGeom prst="rect">
          <a:avLst/>
        </a:prstGeom>
      </xdr:spPr>
    </xdr:pic>
    <xdr:clientData/>
  </xdr:twoCellAnchor>
  <xdr:twoCellAnchor>
    <xdr:from>
      <xdr:col>9</xdr:col>
      <xdr:colOff>524564</xdr:colOff>
      <xdr:row>17</xdr:row>
      <xdr:rowOff>23743</xdr:rowOff>
    </xdr:from>
    <xdr:to>
      <xdr:col>13</xdr:col>
      <xdr:colOff>476249</xdr:colOff>
      <xdr:row>21</xdr:row>
      <xdr:rowOff>25124</xdr:rowOff>
    </xdr:to>
    <xdr:sp macro="" textlink="">
      <xdr:nvSpPr>
        <xdr:cNvPr id="12" name="Rectangle: Rounded Corners 11">
          <a:extLst>
            <a:ext uri="{FF2B5EF4-FFF2-40B4-BE49-F238E27FC236}">
              <a16:creationId xmlns:a16="http://schemas.microsoft.com/office/drawing/2014/main" id="{FFA9FAA6-42F9-4258-A6A2-47A1243699E2}"/>
            </a:ext>
          </a:extLst>
        </xdr:cNvPr>
        <xdr:cNvSpPr/>
      </xdr:nvSpPr>
      <xdr:spPr>
        <a:xfrm>
          <a:off x="6010964" y="3154293"/>
          <a:ext cx="2390085" cy="737981"/>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6073</xdr:colOff>
      <xdr:row>17</xdr:row>
      <xdr:rowOff>23743</xdr:rowOff>
    </xdr:from>
    <xdr:to>
      <xdr:col>13</xdr:col>
      <xdr:colOff>488949</xdr:colOff>
      <xdr:row>21</xdr:row>
      <xdr:rowOff>25124</xdr:rowOff>
    </xdr:to>
    <xdr:sp macro="" textlink="">
      <xdr:nvSpPr>
        <xdr:cNvPr id="13" name="Rectangle: Rounded Corners 12">
          <a:extLst>
            <a:ext uri="{FF2B5EF4-FFF2-40B4-BE49-F238E27FC236}">
              <a16:creationId xmlns:a16="http://schemas.microsoft.com/office/drawing/2014/main" id="{C9545572-C9C2-4209-8623-21E6238379D9}"/>
            </a:ext>
          </a:extLst>
        </xdr:cNvPr>
        <xdr:cNvSpPr/>
      </xdr:nvSpPr>
      <xdr:spPr>
        <a:xfrm>
          <a:off x="6102073" y="3154293"/>
          <a:ext cx="2311676" cy="737981"/>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463272</xdr:colOff>
      <xdr:row>17</xdr:row>
      <xdr:rowOff>11043</xdr:rowOff>
    </xdr:from>
    <xdr:to>
      <xdr:col>13</xdr:col>
      <xdr:colOff>331303</xdr:colOff>
      <xdr:row>18</xdr:row>
      <xdr:rowOff>114576</xdr:rowOff>
    </xdr:to>
    <xdr:sp macro="" textlink="">
      <xdr:nvSpPr>
        <xdr:cNvPr id="14" name="TextBox 13">
          <a:extLst>
            <a:ext uri="{FF2B5EF4-FFF2-40B4-BE49-F238E27FC236}">
              <a16:creationId xmlns:a16="http://schemas.microsoft.com/office/drawing/2014/main" id="{0E8AF2E9-D041-47EF-A41B-E053BF117B0D}"/>
            </a:ext>
          </a:extLst>
        </xdr:cNvPr>
        <xdr:cNvSpPr txBox="1"/>
      </xdr:nvSpPr>
      <xdr:spPr>
        <a:xfrm>
          <a:off x="6559272" y="3141593"/>
          <a:ext cx="1696831" cy="287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Unique</a:t>
          </a:r>
          <a:r>
            <a:rPr lang="en-IN" sz="1400" b="1" baseline="0"/>
            <a:t> Customers</a:t>
          </a:r>
          <a:endParaRPr lang="en-IN" sz="1400" b="1"/>
        </a:p>
      </xdr:txBody>
    </xdr:sp>
    <xdr:clientData/>
  </xdr:twoCellAnchor>
  <xdr:twoCellAnchor editAs="oneCell">
    <xdr:from>
      <xdr:col>10</xdr:col>
      <xdr:colOff>49253</xdr:colOff>
      <xdr:row>18</xdr:row>
      <xdr:rowOff>12977</xdr:rowOff>
    </xdr:from>
    <xdr:to>
      <xdr:col>10</xdr:col>
      <xdr:colOff>394692</xdr:colOff>
      <xdr:row>19</xdr:row>
      <xdr:rowOff>176199</xdr:rowOff>
    </xdr:to>
    <xdr:pic>
      <xdr:nvPicPr>
        <xdr:cNvPr id="15" name="Graphic 14" descr="Users with solid fill">
          <a:extLst>
            <a:ext uri="{FF2B5EF4-FFF2-40B4-BE49-F238E27FC236}">
              <a16:creationId xmlns:a16="http://schemas.microsoft.com/office/drawing/2014/main" id="{3B193931-B1D2-4D1E-82CE-DB444B9C65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6145253" y="3327677"/>
          <a:ext cx="345439" cy="347372"/>
        </a:xfrm>
        <a:prstGeom prst="rect">
          <a:avLst/>
        </a:prstGeom>
      </xdr:spPr>
    </xdr:pic>
    <xdr:clientData/>
  </xdr:twoCellAnchor>
  <xdr:twoCellAnchor>
    <xdr:from>
      <xdr:col>5</xdr:col>
      <xdr:colOff>99390</xdr:colOff>
      <xdr:row>17</xdr:row>
      <xdr:rowOff>23743</xdr:rowOff>
    </xdr:from>
    <xdr:to>
      <xdr:col>9</xdr:col>
      <xdr:colOff>51075</xdr:colOff>
      <xdr:row>21</xdr:row>
      <xdr:rowOff>25124</xdr:rowOff>
    </xdr:to>
    <xdr:sp macro="" textlink="">
      <xdr:nvSpPr>
        <xdr:cNvPr id="16" name="Rectangle: Rounded Corners 15">
          <a:extLst>
            <a:ext uri="{FF2B5EF4-FFF2-40B4-BE49-F238E27FC236}">
              <a16:creationId xmlns:a16="http://schemas.microsoft.com/office/drawing/2014/main" id="{091DC282-1261-406E-BE10-F139509D113D}"/>
            </a:ext>
          </a:extLst>
        </xdr:cNvPr>
        <xdr:cNvSpPr/>
      </xdr:nvSpPr>
      <xdr:spPr>
        <a:xfrm>
          <a:off x="3147390" y="3154293"/>
          <a:ext cx="2390085" cy="73798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188290</xdr:colOff>
      <xdr:row>17</xdr:row>
      <xdr:rowOff>23743</xdr:rowOff>
    </xdr:from>
    <xdr:to>
      <xdr:col>9</xdr:col>
      <xdr:colOff>63775</xdr:colOff>
      <xdr:row>21</xdr:row>
      <xdr:rowOff>25124</xdr:rowOff>
    </xdr:to>
    <xdr:sp macro="" textlink="">
      <xdr:nvSpPr>
        <xdr:cNvPr id="17" name="Rectangle: Rounded Corners 16">
          <a:extLst>
            <a:ext uri="{FF2B5EF4-FFF2-40B4-BE49-F238E27FC236}">
              <a16:creationId xmlns:a16="http://schemas.microsoft.com/office/drawing/2014/main" id="{A96413B7-EA19-49C8-AA0A-FB91493F4489}"/>
            </a:ext>
          </a:extLst>
        </xdr:cNvPr>
        <xdr:cNvSpPr/>
      </xdr:nvSpPr>
      <xdr:spPr>
        <a:xfrm>
          <a:off x="3236290" y="3154293"/>
          <a:ext cx="2313885" cy="737981"/>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38099</xdr:colOff>
      <xdr:row>17</xdr:row>
      <xdr:rowOff>11043</xdr:rowOff>
    </xdr:from>
    <xdr:to>
      <xdr:col>8</xdr:col>
      <xdr:colOff>74267</xdr:colOff>
      <xdr:row>18</xdr:row>
      <xdr:rowOff>114576</xdr:rowOff>
    </xdr:to>
    <xdr:sp macro="" textlink="">
      <xdr:nvSpPr>
        <xdr:cNvPr id="18" name="TextBox 17">
          <a:extLst>
            <a:ext uri="{FF2B5EF4-FFF2-40B4-BE49-F238E27FC236}">
              <a16:creationId xmlns:a16="http://schemas.microsoft.com/office/drawing/2014/main" id="{2E637426-2AF0-4195-B8AB-29D0650494CD}"/>
            </a:ext>
          </a:extLst>
        </xdr:cNvPr>
        <xdr:cNvSpPr txBox="1"/>
      </xdr:nvSpPr>
      <xdr:spPr>
        <a:xfrm>
          <a:off x="3695699" y="3141593"/>
          <a:ext cx="1255368" cy="287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Orders</a:t>
          </a:r>
        </a:p>
      </xdr:txBody>
    </xdr:sp>
    <xdr:clientData/>
  </xdr:twoCellAnchor>
  <xdr:twoCellAnchor editAs="oneCell">
    <xdr:from>
      <xdr:col>5</xdr:col>
      <xdr:colOff>213690</xdr:colOff>
      <xdr:row>18</xdr:row>
      <xdr:rowOff>12977</xdr:rowOff>
    </xdr:from>
    <xdr:to>
      <xdr:col>5</xdr:col>
      <xdr:colOff>594690</xdr:colOff>
      <xdr:row>19</xdr:row>
      <xdr:rowOff>176199</xdr:rowOff>
    </xdr:to>
    <xdr:pic>
      <xdr:nvPicPr>
        <xdr:cNvPr id="19" name="Graphic 18" descr="Shopping cart with solid fill">
          <a:extLst>
            <a:ext uri="{FF2B5EF4-FFF2-40B4-BE49-F238E27FC236}">
              <a16:creationId xmlns:a16="http://schemas.microsoft.com/office/drawing/2014/main" id="{BB6A3A8D-AD77-4107-AFBE-DE648ACC87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61690" y="3327677"/>
          <a:ext cx="381000" cy="347372"/>
        </a:xfrm>
        <a:prstGeom prst="rect">
          <a:avLst/>
        </a:prstGeom>
      </xdr:spPr>
    </xdr:pic>
    <xdr:clientData/>
  </xdr:twoCellAnchor>
  <xdr:twoCellAnchor>
    <xdr:from>
      <xdr:col>5</xdr:col>
      <xdr:colOff>242956</xdr:colOff>
      <xdr:row>12</xdr:row>
      <xdr:rowOff>66261</xdr:rowOff>
    </xdr:from>
    <xdr:to>
      <xdr:col>6</xdr:col>
      <xdr:colOff>88348</xdr:colOff>
      <xdr:row>14</xdr:row>
      <xdr:rowOff>132522</xdr:rowOff>
    </xdr:to>
    <xdr:sp macro="" textlink="">
      <xdr:nvSpPr>
        <xdr:cNvPr id="20" name="TextBox 19">
          <a:extLst>
            <a:ext uri="{FF2B5EF4-FFF2-40B4-BE49-F238E27FC236}">
              <a16:creationId xmlns:a16="http://schemas.microsoft.com/office/drawing/2014/main" id="{BA04E47E-0D17-41BA-9F41-1E1F2F191E48}"/>
            </a:ext>
          </a:extLst>
        </xdr:cNvPr>
        <xdr:cNvSpPr txBox="1"/>
      </xdr:nvSpPr>
      <xdr:spPr>
        <a:xfrm>
          <a:off x="3290956" y="2276061"/>
          <a:ext cx="454992" cy="434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00B050"/>
              </a:solidFill>
            </a:rPr>
            <a:t>₹</a:t>
          </a:r>
        </a:p>
      </xdr:txBody>
    </xdr:sp>
    <xdr:clientData/>
  </xdr:twoCellAnchor>
  <xdr:twoCellAnchor editAs="oneCell">
    <xdr:from>
      <xdr:col>11</xdr:col>
      <xdr:colOff>546651</xdr:colOff>
      <xdr:row>1</xdr:row>
      <xdr:rowOff>81753</xdr:rowOff>
    </xdr:from>
    <xdr:to>
      <xdr:col>16</xdr:col>
      <xdr:colOff>13720</xdr:colOff>
      <xdr:row>5</xdr:row>
      <xdr:rowOff>140282</xdr:rowOff>
    </xdr:to>
    <mc:AlternateContent xmlns:mc="http://schemas.openxmlformats.org/markup-compatibility/2006">
      <mc:Choice xmlns:a14="http://schemas.microsoft.com/office/drawing/2010/main" Requires="a14">
        <xdr:graphicFrame macro="">
          <xdr:nvGraphicFramePr>
            <xdr:cNvPr id="21" name="region 2">
              <a:extLst>
                <a:ext uri="{FF2B5EF4-FFF2-40B4-BE49-F238E27FC236}">
                  <a16:creationId xmlns:a16="http://schemas.microsoft.com/office/drawing/2014/main" id="{A887E9D6-0426-46E9-8BF3-0EB91DB1CBF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272947" y="264022"/>
              <a:ext cx="2524477" cy="787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11042</xdr:colOff>
      <xdr:row>6</xdr:row>
      <xdr:rowOff>22088</xdr:rowOff>
    </xdr:from>
    <xdr:to>
      <xdr:col>16</xdr:col>
      <xdr:colOff>16955</xdr:colOff>
      <xdr:row>10</xdr:row>
      <xdr:rowOff>115956</xdr:rowOff>
    </xdr:to>
    <mc:AlternateContent xmlns:mc="http://schemas.openxmlformats.org/markup-compatibility/2006">
      <mc:Choice xmlns:a14="http://schemas.microsoft.com/office/drawing/2010/main" Requires="a14">
        <xdr:graphicFrame macro="">
          <xdr:nvGraphicFramePr>
            <xdr:cNvPr id="22" name="product 2">
              <a:extLst>
                <a:ext uri="{FF2B5EF4-FFF2-40B4-BE49-F238E27FC236}">
                  <a16:creationId xmlns:a16="http://schemas.microsoft.com/office/drawing/2014/main" id="{61C56FCF-88DA-44EE-BCD4-D262BD5AEC0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845486" y="1115699"/>
              <a:ext cx="7955173" cy="822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469348</xdr:colOff>
      <xdr:row>7</xdr:row>
      <xdr:rowOff>5521</xdr:rowOff>
    </xdr:from>
    <xdr:to>
      <xdr:col>2</xdr:col>
      <xdr:colOff>425174</xdr:colOff>
      <xdr:row>9</xdr:row>
      <xdr:rowOff>77303</xdr:rowOff>
    </xdr:to>
    <xdr:sp macro="" textlink="">
      <xdr:nvSpPr>
        <xdr:cNvPr id="23" name="TextBox 22">
          <a:extLst>
            <a:ext uri="{FF2B5EF4-FFF2-40B4-BE49-F238E27FC236}">
              <a16:creationId xmlns:a16="http://schemas.microsoft.com/office/drawing/2014/main" id="{F196FC17-F680-48CA-ABD5-D6548416909F}"/>
            </a:ext>
          </a:extLst>
        </xdr:cNvPr>
        <xdr:cNvSpPr txBox="1"/>
      </xdr:nvSpPr>
      <xdr:spPr>
        <a:xfrm>
          <a:off x="469348" y="1281043"/>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KPI'S</a:t>
          </a:r>
        </a:p>
      </xdr:txBody>
    </xdr:sp>
    <xdr:clientData/>
  </xdr:twoCellAnchor>
  <xdr:twoCellAnchor>
    <xdr:from>
      <xdr:col>0</xdr:col>
      <xdr:colOff>469348</xdr:colOff>
      <xdr:row>9</xdr:row>
      <xdr:rowOff>143565</xdr:rowOff>
    </xdr:from>
    <xdr:to>
      <xdr:col>2</xdr:col>
      <xdr:colOff>425174</xdr:colOff>
      <xdr:row>12</xdr:row>
      <xdr:rowOff>33130</xdr:rowOff>
    </xdr:to>
    <xdr:sp macro="" textlink="">
      <xdr:nvSpPr>
        <xdr:cNvPr id="24" name="TextBox 23">
          <a:hlinkClick xmlns:r="http://schemas.openxmlformats.org/officeDocument/2006/relationships" r:id="rId7"/>
          <a:extLst>
            <a:ext uri="{FF2B5EF4-FFF2-40B4-BE49-F238E27FC236}">
              <a16:creationId xmlns:a16="http://schemas.microsoft.com/office/drawing/2014/main" id="{1B71399A-F55C-4ED0-8F89-14646888456B}"/>
            </a:ext>
          </a:extLst>
        </xdr:cNvPr>
        <xdr:cNvSpPr txBox="1"/>
      </xdr:nvSpPr>
      <xdr:spPr>
        <a:xfrm>
          <a:off x="469348" y="1783522"/>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PRODUCT</a:t>
          </a:r>
        </a:p>
      </xdr:txBody>
    </xdr:sp>
    <xdr:clientData/>
  </xdr:twoCellAnchor>
  <xdr:twoCellAnchor>
    <xdr:from>
      <xdr:col>0</xdr:col>
      <xdr:colOff>469348</xdr:colOff>
      <xdr:row>12</xdr:row>
      <xdr:rowOff>99391</xdr:rowOff>
    </xdr:from>
    <xdr:to>
      <xdr:col>2</xdr:col>
      <xdr:colOff>425174</xdr:colOff>
      <xdr:row>14</xdr:row>
      <xdr:rowOff>171174</xdr:rowOff>
    </xdr:to>
    <xdr:sp macro="" textlink="">
      <xdr:nvSpPr>
        <xdr:cNvPr id="25" name="TextBox 24">
          <a:hlinkClick xmlns:r="http://schemas.openxmlformats.org/officeDocument/2006/relationships" r:id="rId8"/>
          <a:extLst>
            <a:ext uri="{FF2B5EF4-FFF2-40B4-BE49-F238E27FC236}">
              <a16:creationId xmlns:a16="http://schemas.microsoft.com/office/drawing/2014/main" id="{46AE47E0-C808-4543-911D-4F84E099A920}"/>
            </a:ext>
          </a:extLst>
        </xdr:cNvPr>
        <xdr:cNvSpPr txBox="1"/>
      </xdr:nvSpPr>
      <xdr:spPr>
        <a:xfrm>
          <a:off x="469348" y="2286000"/>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REGION</a:t>
          </a:r>
        </a:p>
      </xdr:txBody>
    </xdr:sp>
    <xdr:clientData/>
  </xdr:twoCellAnchor>
  <xdr:twoCellAnchor>
    <xdr:from>
      <xdr:col>0</xdr:col>
      <xdr:colOff>469348</xdr:colOff>
      <xdr:row>15</xdr:row>
      <xdr:rowOff>66261</xdr:rowOff>
    </xdr:from>
    <xdr:to>
      <xdr:col>2</xdr:col>
      <xdr:colOff>425174</xdr:colOff>
      <xdr:row>17</xdr:row>
      <xdr:rowOff>138043</xdr:rowOff>
    </xdr:to>
    <xdr:sp macro="" textlink="">
      <xdr:nvSpPr>
        <xdr:cNvPr id="26" name="TextBox 25">
          <a:hlinkClick xmlns:r="http://schemas.openxmlformats.org/officeDocument/2006/relationships" r:id="rId9"/>
          <a:extLst>
            <a:ext uri="{FF2B5EF4-FFF2-40B4-BE49-F238E27FC236}">
              <a16:creationId xmlns:a16="http://schemas.microsoft.com/office/drawing/2014/main" id="{BC860808-36ED-47FD-93CD-21F4755FADBC}"/>
            </a:ext>
          </a:extLst>
        </xdr:cNvPr>
        <xdr:cNvSpPr txBox="1"/>
      </xdr:nvSpPr>
      <xdr:spPr>
        <a:xfrm>
          <a:off x="469348" y="2799522"/>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CUSTOMER</a:t>
          </a:r>
        </a:p>
      </xdr:txBody>
    </xdr:sp>
    <xdr:clientData/>
  </xdr:twoCellAnchor>
  <xdr:twoCellAnchor>
    <xdr:from>
      <xdr:col>6</xdr:col>
      <xdr:colOff>40307</xdr:colOff>
      <xdr:row>13</xdr:row>
      <xdr:rowOff>106017</xdr:rowOff>
    </xdr:from>
    <xdr:to>
      <xdr:col>8</xdr:col>
      <xdr:colOff>463825</xdr:colOff>
      <xdr:row>15</xdr:row>
      <xdr:rowOff>27332</xdr:rowOff>
    </xdr:to>
    <xdr:sp macro="" textlink="'Pivot Table'!B4">
      <xdr:nvSpPr>
        <xdr:cNvPr id="27" name="TextBox 26">
          <a:extLst>
            <a:ext uri="{FF2B5EF4-FFF2-40B4-BE49-F238E27FC236}">
              <a16:creationId xmlns:a16="http://schemas.microsoft.com/office/drawing/2014/main" id="{05EC290D-BCAE-4863-BC60-B71E231505FC}"/>
            </a:ext>
          </a:extLst>
        </xdr:cNvPr>
        <xdr:cNvSpPr txBox="1"/>
      </xdr:nvSpPr>
      <xdr:spPr>
        <a:xfrm>
          <a:off x="3684655" y="2474843"/>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7684AC-AA91-4244-9FF5-ECF02F9603DC}" type="TxLink">
            <a:rPr lang="en-US" sz="1800" b="1" i="0" u="none" strike="noStrike">
              <a:solidFill>
                <a:srgbClr val="000000"/>
              </a:solidFill>
              <a:latin typeface="Calibri"/>
              <a:ea typeface="Calibri"/>
              <a:cs typeface="Calibri"/>
            </a:rPr>
            <a:t>3,34,200</a:t>
          </a:fld>
          <a:endParaRPr lang="en-IN" sz="2400" b="1"/>
        </a:p>
      </xdr:txBody>
    </xdr:sp>
    <xdr:clientData/>
  </xdr:twoCellAnchor>
  <xdr:twoCellAnchor editAs="oneCell">
    <xdr:from>
      <xdr:col>3</xdr:col>
      <xdr:colOff>11043</xdr:colOff>
      <xdr:row>1</xdr:row>
      <xdr:rowOff>112369</xdr:rowOff>
    </xdr:from>
    <xdr:to>
      <xdr:col>11</xdr:col>
      <xdr:colOff>491435</xdr:colOff>
      <xdr:row>5</xdr:row>
      <xdr:rowOff>145498</xdr:rowOff>
    </xdr:to>
    <mc:AlternateContent xmlns:mc="http://schemas.openxmlformats.org/markup-compatibility/2006">
      <mc:Choice xmlns:a14="http://schemas.microsoft.com/office/drawing/2010/main" Requires="a14">
        <xdr:graphicFrame macro="">
          <xdr:nvGraphicFramePr>
            <xdr:cNvPr id="28" name="category 1">
              <a:extLst>
                <a:ext uri="{FF2B5EF4-FFF2-40B4-BE49-F238E27FC236}">
                  <a16:creationId xmlns:a16="http://schemas.microsoft.com/office/drawing/2014/main" id="{47DFAE47-0266-46D5-B5A4-A8AAA2DB5D4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45487" y="294638"/>
              <a:ext cx="5372244" cy="762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468796</xdr:colOff>
      <xdr:row>18</xdr:row>
      <xdr:rowOff>92764</xdr:rowOff>
    </xdr:from>
    <xdr:to>
      <xdr:col>13</xdr:col>
      <xdr:colOff>284922</xdr:colOff>
      <xdr:row>20</xdr:row>
      <xdr:rowOff>14079</xdr:rowOff>
    </xdr:to>
    <xdr:sp macro="" textlink="'Pivot Table'!B9">
      <xdr:nvSpPr>
        <xdr:cNvPr id="29" name="TextBox 28">
          <a:extLst>
            <a:ext uri="{FF2B5EF4-FFF2-40B4-BE49-F238E27FC236}">
              <a16:creationId xmlns:a16="http://schemas.microsoft.com/office/drawing/2014/main" id="{557174B7-1AC9-4D62-953D-3F03CB1FA57F}"/>
            </a:ext>
          </a:extLst>
        </xdr:cNvPr>
        <xdr:cNvSpPr txBox="1"/>
      </xdr:nvSpPr>
      <xdr:spPr>
        <a:xfrm>
          <a:off x="6542709" y="3372677"/>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70C973-B349-4037-ADC1-EDB3C6FDC9A0}" type="TxLink">
            <a:rPr lang="en-US" sz="1800" b="1" i="0" u="none" strike="noStrike">
              <a:solidFill>
                <a:srgbClr val="000000"/>
              </a:solidFill>
              <a:latin typeface="Calibri"/>
              <a:ea typeface="Calibri"/>
              <a:cs typeface="Calibri"/>
            </a:rPr>
            <a:t>20</a:t>
          </a:fld>
          <a:endParaRPr lang="en-IN" sz="6000" b="1"/>
        </a:p>
      </xdr:txBody>
    </xdr:sp>
    <xdr:clientData/>
  </xdr:twoCellAnchor>
  <xdr:twoCellAnchor>
    <xdr:from>
      <xdr:col>0</xdr:col>
      <xdr:colOff>375478</xdr:colOff>
      <xdr:row>2</xdr:row>
      <xdr:rowOff>102050</xdr:rowOff>
    </xdr:from>
    <xdr:to>
      <xdr:col>2</xdr:col>
      <xdr:colOff>485913</xdr:colOff>
      <xdr:row>7</xdr:row>
      <xdr:rowOff>8180</xdr:rowOff>
    </xdr:to>
    <xdr:sp macro="" textlink="">
      <xdr:nvSpPr>
        <xdr:cNvPr id="30" name="TextBox 29">
          <a:extLst>
            <a:ext uri="{FF2B5EF4-FFF2-40B4-BE49-F238E27FC236}">
              <a16:creationId xmlns:a16="http://schemas.microsoft.com/office/drawing/2014/main" id="{41FE0182-4ADF-4230-A657-AD9303066C5A}"/>
            </a:ext>
          </a:extLst>
        </xdr:cNvPr>
        <xdr:cNvSpPr txBox="1"/>
      </xdr:nvSpPr>
      <xdr:spPr>
        <a:xfrm>
          <a:off x="375478" y="466587"/>
          <a:ext cx="1333398" cy="81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REVENUE</a:t>
          </a:r>
          <a:br>
            <a:rPr lang="en-IN" sz="1600" b="1">
              <a:solidFill>
                <a:schemeClr val="bg1"/>
              </a:solidFill>
            </a:rPr>
          </a:br>
          <a:r>
            <a:rPr lang="en-IN" sz="1600" b="1">
              <a:solidFill>
                <a:schemeClr val="bg1"/>
              </a:solidFill>
            </a:rPr>
            <a:t>DASHBOARD</a:t>
          </a:r>
        </a:p>
      </xdr:txBody>
    </xdr:sp>
    <xdr:clientData/>
  </xdr:twoCellAnchor>
  <xdr:twoCellAnchor>
    <xdr:from>
      <xdr:col>6</xdr:col>
      <xdr:colOff>54665</xdr:colOff>
      <xdr:row>18</xdr:row>
      <xdr:rowOff>92764</xdr:rowOff>
    </xdr:from>
    <xdr:to>
      <xdr:col>8</xdr:col>
      <xdr:colOff>478183</xdr:colOff>
      <xdr:row>20</xdr:row>
      <xdr:rowOff>14079</xdr:rowOff>
    </xdr:to>
    <xdr:sp macro="" textlink="'Pivot Table'!B26">
      <xdr:nvSpPr>
        <xdr:cNvPr id="31" name="TextBox 30">
          <a:extLst>
            <a:ext uri="{FF2B5EF4-FFF2-40B4-BE49-F238E27FC236}">
              <a16:creationId xmlns:a16="http://schemas.microsoft.com/office/drawing/2014/main" id="{63E0D859-0500-4873-BEB4-E9251E743E73}"/>
            </a:ext>
          </a:extLst>
        </xdr:cNvPr>
        <xdr:cNvSpPr txBox="1"/>
      </xdr:nvSpPr>
      <xdr:spPr>
        <a:xfrm>
          <a:off x="3699013" y="3372677"/>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1E9EA4-4660-4D05-9B7F-BE544A9A0492}" type="TxLink">
            <a:rPr lang="en-US" sz="1800" b="1" i="0" u="none" strike="noStrike">
              <a:solidFill>
                <a:srgbClr val="000000"/>
              </a:solidFill>
              <a:latin typeface="Calibri"/>
              <a:ea typeface="Calibri"/>
              <a:cs typeface="Calibri"/>
            </a:rPr>
            <a:t>20</a:t>
          </a:fld>
          <a:endParaRPr lang="en-IN" sz="3200" b="1"/>
        </a:p>
      </xdr:txBody>
    </xdr:sp>
    <xdr:clientData/>
  </xdr:twoCellAnchor>
  <xdr:twoCellAnchor>
    <xdr:from>
      <xdr:col>10</xdr:col>
      <xdr:colOff>437873</xdr:colOff>
      <xdr:row>13</xdr:row>
      <xdr:rowOff>94973</xdr:rowOff>
    </xdr:from>
    <xdr:to>
      <xdr:col>13</xdr:col>
      <xdr:colOff>253999</xdr:colOff>
      <xdr:row>15</xdr:row>
      <xdr:rowOff>16288</xdr:rowOff>
    </xdr:to>
    <xdr:sp macro="" textlink="'Pivot Table'!E27">
      <xdr:nvSpPr>
        <xdr:cNvPr id="32" name="TextBox 31">
          <a:extLst>
            <a:ext uri="{FF2B5EF4-FFF2-40B4-BE49-F238E27FC236}">
              <a16:creationId xmlns:a16="http://schemas.microsoft.com/office/drawing/2014/main" id="{F117B3A0-6CB2-4C24-B66C-7BE231AF9135}"/>
            </a:ext>
          </a:extLst>
        </xdr:cNvPr>
        <xdr:cNvSpPr txBox="1"/>
      </xdr:nvSpPr>
      <xdr:spPr>
        <a:xfrm>
          <a:off x="6511786" y="2463799"/>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772F82-607B-4C68-AFC0-9A806D41B6A8}" type="TxLink">
            <a:rPr lang="en-US" sz="1800" b="1" i="0" u="none" strike="noStrike">
              <a:solidFill>
                <a:srgbClr val="000000"/>
              </a:solidFill>
              <a:latin typeface="Calibri"/>
              <a:ea typeface="Calibri"/>
              <a:cs typeface="Calibri"/>
            </a:rPr>
            <a:t>16710.00</a:t>
          </a:fld>
          <a:endParaRPr lang="en-IN" sz="3200" b="1"/>
        </a:p>
      </xdr:txBody>
    </xdr:sp>
    <xdr:clientData/>
  </xdr:twoCellAnchor>
  <xdr:twoCellAnchor>
    <xdr:from>
      <xdr:col>0</xdr:col>
      <xdr:colOff>469348</xdr:colOff>
      <xdr:row>18</xdr:row>
      <xdr:rowOff>33130</xdr:rowOff>
    </xdr:from>
    <xdr:to>
      <xdr:col>2</xdr:col>
      <xdr:colOff>425174</xdr:colOff>
      <xdr:row>20</xdr:row>
      <xdr:rowOff>104912</xdr:rowOff>
    </xdr:to>
    <xdr:sp macro="" textlink="">
      <xdr:nvSpPr>
        <xdr:cNvPr id="33" name="TextBox 32">
          <a:hlinkClick xmlns:r="http://schemas.openxmlformats.org/officeDocument/2006/relationships" r:id="rId10"/>
          <a:extLst>
            <a:ext uri="{FF2B5EF4-FFF2-40B4-BE49-F238E27FC236}">
              <a16:creationId xmlns:a16="http://schemas.microsoft.com/office/drawing/2014/main" id="{5DC7371A-220F-4361-A525-CDBF0968CBE6}"/>
            </a:ext>
          </a:extLst>
        </xdr:cNvPr>
        <xdr:cNvSpPr txBox="1"/>
      </xdr:nvSpPr>
      <xdr:spPr>
        <a:xfrm>
          <a:off x="469348" y="3313043"/>
          <a:ext cx="1170609" cy="436217"/>
        </a:xfrm>
        <a:prstGeom prst="roundRect">
          <a:avLst>
            <a:gd name="adj" fmla="val 40323"/>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MONTHLY</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641350</xdr:colOff>
      <xdr:row>14</xdr:row>
      <xdr:rowOff>152400</xdr:rowOff>
    </xdr:from>
    <xdr:to>
      <xdr:col>12</xdr:col>
      <xdr:colOff>237550</xdr:colOff>
      <xdr:row>19</xdr:row>
      <xdr:rowOff>182050</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25899484-4A80-417D-BFA1-94BAB8F22E2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41350" y="2730500"/>
              <a:ext cx="7902000" cy="95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165100</xdr:colOff>
      <xdr:row>3</xdr:row>
      <xdr:rowOff>171451</xdr:rowOff>
    </xdr:from>
    <xdr:to>
      <xdr:col>22</xdr:col>
      <xdr:colOff>152400</xdr:colOff>
      <xdr:row>8</xdr:row>
      <xdr:rowOff>12700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9FD2F233-1738-41E6-9B03-D0E88EEE75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51700" y="723901"/>
              <a:ext cx="7302500"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165100</xdr:colOff>
      <xdr:row>8</xdr:row>
      <xdr:rowOff>127001</xdr:rowOff>
    </xdr:from>
    <xdr:to>
      <xdr:col>14</xdr:col>
      <xdr:colOff>230726</xdr:colOff>
      <xdr:row>12</xdr:row>
      <xdr:rowOff>177800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F4EA1D9-FB6A-4680-A4ED-CA03F12B17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51700" y="1600201"/>
              <a:ext cx="2504026" cy="78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615950</xdr:colOff>
      <xdr:row>42</xdr:row>
      <xdr:rowOff>12700</xdr:rowOff>
    </xdr:from>
    <xdr:to>
      <xdr:col>14</xdr:col>
      <xdr:colOff>577850</xdr:colOff>
      <xdr:row>61</xdr:row>
      <xdr:rowOff>165100</xdr:rowOff>
    </xdr:to>
    <xdr:graphicFrame macro="">
      <xdr:nvGraphicFramePr>
        <xdr:cNvPr id="5" name="Chart 4">
          <a:extLst>
            <a:ext uri="{FF2B5EF4-FFF2-40B4-BE49-F238E27FC236}">
              <a16:creationId xmlns:a16="http://schemas.microsoft.com/office/drawing/2014/main" id="{B9633DD1-C200-4CD2-9AB3-49A964EE8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64</xdr:row>
      <xdr:rowOff>180975</xdr:rowOff>
    </xdr:from>
    <xdr:to>
      <xdr:col>9</xdr:col>
      <xdr:colOff>355600</xdr:colOff>
      <xdr:row>79</xdr:row>
      <xdr:rowOff>161925</xdr:rowOff>
    </xdr:to>
    <xdr:graphicFrame macro="">
      <xdr:nvGraphicFramePr>
        <xdr:cNvPr id="6" name="Chart 5">
          <a:extLst>
            <a:ext uri="{FF2B5EF4-FFF2-40B4-BE49-F238E27FC236}">
              <a16:creationId xmlns:a16="http://schemas.microsoft.com/office/drawing/2014/main" id="{55269074-5FB9-4C61-91E1-254744D5E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749300</xdr:colOff>
      <xdr:row>89</xdr:row>
      <xdr:rowOff>22225</xdr:rowOff>
    </xdr:from>
    <xdr:to>
      <xdr:col>11</xdr:col>
      <xdr:colOff>88900</xdr:colOff>
      <xdr:row>104</xdr:row>
      <xdr:rowOff>3175</xdr:rowOff>
    </xdr:to>
    <xdr:graphicFrame macro="">
      <xdr:nvGraphicFramePr>
        <xdr:cNvPr id="7" name="Chart 6">
          <a:extLst>
            <a:ext uri="{FF2B5EF4-FFF2-40B4-BE49-F238E27FC236}">
              <a16:creationId xmlns:a16="http://schemas.microsoft.com/office/drawing/2014/main" id="{3C2AE9D4-4919-4518-A5DA-F3AABBE62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101600</xdr:colOff>
      <xdr:row>113</xdr:row>
      <xdr:rowOff>34925</xdr:rowOff>
    </xdr:from>
    <xdr:to>
      <xdr:col>11</xdr:col>
      <xdr:colOff>228600</xdr:colOff>
      <xdr:row>128</xdr:row>
      <xdr:rowOff>15875</xdr:rowOff>
    </xdr:to>
    <xdr:graphicFrame macro="">
      <xdr:nvGraphicFramePr>
        <xdr:cNvPr id="8" name="Chart 7">
          <a:extLst>
            <a:ext uri="{FF2B5EF4-FFF2-40B4-BE49-F238E27FC236}">
              <a16:creationId xmlns:a16="http://schemas.microsoft.com/office/drawing/2014/main" id="{BEE855AF-AB30-427A-AC9C-FDC67E6F1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lleshwari Kothare" refreshedDate="46115.910605439814" createdVersion="7" refreshedVersion="7" minRefreshableVersion="3" recordCount="20" xr:uid="{6D5933B1-CF4C-48DA-B258-750196F0CA31}">
  <cacheSource type="worksheet">
    <worksheetSource ref="A1:I21" sheet="Data"/>
  </cacheSource>
  <cacheFields count="10">
    <cacheField name="order_id" numFmtId="0">
      <sharedItems containsSemiMixedTypes="0" containsString="0" containsNumber="1" containsInteger="1" minValue="1001" maxValue="1020"/>
    </cacheField>
    <cacheField name="customer_id" numFmtId="0">
      <sharedItems count="20">
        <s v="C001"/>
        <s v="C002"/>
        <s v="C003"/>
        <s v="C004"/>
        <s v="C005"/>
        <s v="C006"/>
        <s v="C007"/>
        <s v="C008"/>
        <s v="C009"/>
        <s v="C010"/>
        <s v="C011"/>
        <s v="C012"/>
        <s v="C013"/>
        <s v="C014"/>
        <s v="C015"/>
        <s v="C016"/>
        <s v="C017"/>
        <s v="C018"/>
        <s v="C019"/>
        <s v="C020"/>
      </sharedItems>
    </cacheField>
    <cacheField name="product" numFmtId="0">
      <sharedItems count="20">
        <s v="Laptop"/>
        <s v="Smartphone"/>
        <s v="Shoes"/>
        <s v="Watch"/>
        <s v="Headphones"/>
        <s v="T-shirt"/>
        <s v="Refrigerator"/>
        <s v="Microwave"/>
        <s v="Backpack"/>
        <s v="Tablet"/>
        <s v="Sofa"/>
        <s v="Desk"/>
        <s v="Camera"/>
        <s v="Sandals"/>
        <s v="Blender"/>
        <s v="Keyboard"/>
        <s v="Mouse"/>
        <s v="Jacket"/>
        <s v="Air Conditioner"/>
        <s v="Books"/>
      </sharedItems>
    </cacheField>
    <cacheField name="category" numFmtId="0">
      <sharedItems count="6">
        <s v="Electronics"/>
        <s v="Fashion"/>
        <s v="Accessories"/>
        <s v="Appliances"/>
        <s v="Furniture"/>
        <s v="Stationery"/>
      </sharedItems>
    </cacheField>
    <cacheField name="region" numFmtId="0">
      <sharedItems count="4">
        <s v="North"/>
        <s v="West"/>
        <s v="South"/>
        <s v="East"/>
      </sharedItems>
    </cacheField>
    <cacheField name="price" numFmtId="2">
      <sharedItems containsSemiMixedTypes="0" containsString="0" containsNumber="1" containsInteger="1" minValue="500" maxValue="55000"/>
    </cacheField>
    <cacheField name="quantity" numFmtId="1">
      <sharedItems containsSemiMixedTypes="0" containsString="0" containsNumber="1" containsInteger="1" minValue="1" maxValue="6"/>
    </cacheField>
    <cacheField name="order_date" numFmtId="14">
      <sharedItems containsSemiMixedTypes="0" containsNonDate="0" containsDate="1" containsString="0" minDate="2024-01-05T00:00:00" maxDate="2024-02-29T00:00:00" count="20">
        <d v="2024-01-05T00:00:00"/>
        <d v="2024-01-07T00:00:00"/>
        <d v="2024-01-10T00:00:00"/>
        <d v="2024-01-12T00:00:00"/>
        <d v="2024-01-15T00:00:00"/>
        <d v="2024-01-18T00:00:00"/>
        <d v="2024-01-20T00:00:00"/>
        <d v="2024-01-22T00:00:00"/>
        <d v="2024-01-25T00:00:00"/>
        <d v="2024-01-28T00:00:00"/>
        <d v="2024-02-02T00:00:00"/>
        <d v="2024-02-05T00:00:00"/>
        <d v="2024-02-08T00:00:00"/>
        <d v="2024-02-10T00:00:00"/>
        <d v="2024-02-12T00:00:00"/>
        <d v="2024-02-15T00:00:00"/>
        <d v="2024-02-18T00:00:00"/>
        <d v="2024-02-20T00:00:00"/>
        <d v="2024-02-25T00:00:00"/>
        <d v="2024-02-28T00:00:00"/>
      </sharedItems>
      <fieldGroup par="9" base="7">
        <rangePr groupBy="days" startDate="2024-01-05T00:00:00" endDate="2024-02-29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2-2024"/>
        </groupItems>
      </fieldGroup>
    </cacheField>
    <cacheField name="revenue" numFmtId="4">
      <sharedItems containsSemiMixedTypes="0" containsString="0" containsNumber="1" containsInteger="1" minValue="2400" maxValue="55000"/>
    </cacheField>
    <cacheField name="Months" numFmtId="0" databaseField="0">
      <fieldGroup base="7">
        <rangePr groupBy="months" startDate="2024-01-05T00:00:00" endDate="2024-02-29T00:00:00"/>
        <groupItems count="14">
          <s v="&lt;05-01-2024"/>
          <s v="Jan"/>
          <s v="Feb"/>
          <s v="Mar"/>
          <s v="Apr"/>
          <s v="May"/>
          <s v="Jun"/>
          <s v="Jul"/>
          <s v="Aug"/>
          <s v="Sep"/>
          <s v="Oct"/>
          <s v="Nov"/>
          <s v="Dec"/>
          <s v="&gt;29-02-2024"/>
        </groupItems>
      </fieldGroup>
    </cacheField>
  </cacheFields>
  <extLst>
    <ext xmlns:x14="http://schemas.microsoft.com/office/spreadsheetml/2009/9/main" uri="{725AE2AE-9491-48be-B2B4-4EB974FC3084}">
      <x14:pivotCacheDefinition pivotCacheId="570106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x v="0"/>
    <n v="55000"/>
    <n v="1"/>
    <x v="0"/>
    <n v="55000"/>
  </r>
  <r>
    <n v="1002"/>
    <x v="1"/>
    <x v="1"/>
    <x v="0"/>
    <x v="1"/>
    <n v="20000"/>
    <n v="2"/>
    <x v="1"/>
    <n v="40000"/>
  </r>
  <r>
    <n v="1003"/>
    <x v="2"/>
    <x v="2"/>
    <x v="1"/>
    <x v="2"/>
    <n v="2500"/>
    <n v="3"/>
    <x v="2"/>
    <n v="7500"/>
  </r>
  <r>
    <n v="1004"/>
    <x v="3"/>
    <x v="3"/>
    <x v="2"/>
    <x v="3"/>
    <n v="4500"/>
    <n v="1"/>
    <x v="3"/>
    <n v="4500"/>
  </r>
  <r>
    <n v="1005"/>
    <x v="4"/>
    <x v="4"/>
    <x v="0"/>
    <x v="0"/>
    <n v="1500"/>
    <n v="2"/>
    <x v="4"/>
    <n v="3000"/>
  </r>
  <r>
    <n v="1006"/>
    <x v="5"/>
    <x v="5"/>
    <x v="1"/>
    <x v="1"/>
    <n v="800"/>
    <n v="4"/>
    <x v="5"/>
    <n v="3200"/>
  </r>
  <r>
    <n v="1007"/>
    <x v="6"/>
    <x v="6"/>
    <x v="3"/>
    <x v="2"/>
    <n v="30000"/>
    <n v="1"/>
    <x v="6"/>
    <n v="30000"/>
  </r>
  <r>
    <n v="1008"/>
    <x v="7"/>
    <x v="7"/>
    <x v="3"/>
    <x v="3"/>
    <n v="12000"/>
    <n v="1"/>
    <x v="7"/>
    <n v="12000"/>
  </r>
  <r>
    <n v="1009"/>
    <x v="8"/>
    <x v="8"/>
    <x v="2"/>
    <x v="0"/>
    <n v="1800"/>
    <n v="2"/>
    <x v="8"/>
    <n v="3600"/>
  </r>
  <r>
    <n v="1010"/>
    <x v="9"/>
    <x v="9"/>
    <x v="0"/>
    <x v="1"/>
    <n v="25000"/>
    <n v="1"/>
    <x v="9"/>
    <n v="25000"/>
  </r>
  <r>
    <n v="1011"/>
    <x v="10"/>
    <x v="10"/>
    <x v="4"/>
    <x v="2"/>
    <n v="40000"/>
    <n v="1"/>
    <x v="10"/>
    <n v="40000"/>
  </r>
  <r>
    <n v="1012"/>
    <x v="11"/>
    <x v="11"/>
    <x v="4"/>
    <x v="3"/>
    <n v="7000"/>
    <n v="1"/>
    <x v="11"/>
    <n v="7000"/>
  </r>
  <r>
    <n v="1013"/>
    <x v="12"/>
    <x v="12"/>
    <x v="0"/>
    <x v="0"/>
    <n v="35000"/>
    <n v="1"/>
    <x v="12"/>
    <n v="35000"/>
  </r>
  <r>
    <n v="1014"/>
    <x v="13"/>
    <x v="13"/>
    <x v="1"/>
    <x v="1"/>
    <n v="1200"/>
    <n v="2"/>
    <x v="13"/>
    <n v="2400"/>
  </r>
  <r>
    <n v="1015"/>
    <x v="14"/>
    <x v="14"/>
    <x v="3"/>
    <x v="2"/>
    <n v="3000"/>
    <n v="1"/>
    <x v="14"/>
    <n v="3000"/>
  </r>
  <r>
    <n v="1016"/>
    <x v="15"/>
    <x v="15"/>
    <x v="0"/>
    <x v="3"/>
    <n v="1500"/>
    <n v="3"/>
    <x v="15"/>
    <n v="4500"/>
  </r>
  <r>
    <n v="1017"/>
    <x v="16"/>
    <x v="16"/>
    <x v="0"/>
    <x v="0"/>
    <n v="700"/>
    <n v="5"/>
    <x v="16"/>
    <n v="3500"/>
  </r>
  <r>
    <n v="1018"/>
    <x v="17"/>
    <x v="17"/>
    <x v="1"/>
    <x v="1"/>
    <n v="3500"/>
    <n v="2"/>
    <x v="17"/>
    <n v="7000"/>
  </r>
  <r>
    <n v="1019"/>
    <x v="18"/>
    <x v="18"/>
    <x v="3"/>
    <x v="2"/>
    <n v="45000"/>
    <n v="1"/>
    <x v="18"/>
    <n v="45000"/>
  </r>
  <r>
    <n v="1020"/>
    <x v="19"/>
    <x v="19"/>
    <x v="5"/>
    <x v="3"/>
    <n v="500"/>
    <n v="6"/>
    <x v="19"/>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4DDC49-ADC5-4E7D-A9AE-329E3B1CD49E}" name="PivotTable10"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113:B116" firstHeaderRow="1" firstDataRow="1" firstDataCol="1"/>
  <pivotFields count="10">
    <pivotField showAll="0"/>
    <pivotField showAll="0" sortType="a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21">
        <item x="18"/>
        <item x="8"/>
        <item x="14"/>
        <item x="19"/>
        <item x="12"/>
        <item x="11"/>
        <item x="4"/>
        <item x="17"/>
        <item x="15"/>
        <item x="0"/>
        <item x="7"/>
        <item x="16"/>
        <item x="6"/>
        <item x="13"/>
        <item x="2"/>
        <item x="1"/>
        <item x="10"/>
        <item x="9"/>
        <item x="5"/>
        <item x="3"/>
        <item t="default"/>
      </items>
    </pivotField>
    <pivotField showAll="0">
      <items count="7">
        <item x="2"/>
        <item x="3"/>
        <item x="0"/>
        <item x="1"/>
        <item x="4"/>
        <item x="5"/>
        <item t="default"/>
      </items>
    </pivotField>
    <pivotField showAll="0">
      <items count="5">
        <item x="3"/>
        <item x="0"/>
        <item x="2"/>
        <item x="1"/>
        <item t="default"/>
      </items>
    </pivotField>
    <pivotField numFmtId="2"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4"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3">
    <i>
      <x v="1"/>
    </i>
    <i>
      <x v="2"/>
    </i>
    <i t="grand">
      <x/>
    </i>
  </rowItems>
  <colItems count="1">
    <i/>
  </colItems>
  <dataFields count="1">
    <dataField name="Sum of revenue" fld="8" baseField="4" baseItem="1"/>
  </dataFields>
  <chartFormats count="8">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580D76-ADE6-419F-B373-DD33CDB9F3AD}" name="PivotTable9"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89:B95" firstHeaderRow="1" firstDataRow="1" firstDataCol="1"/>
  <pivotFields count="10">
    <pivotField showAll="0"/>
    <pivotField axis="axisRow" showAll="0" measureFilter="1" sortType="a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21">
        <item x="18"/>
        <item x="8"/>
        <item x="14"/>
        <item x="19"/>
        <item x="12"/>
        <item x="11"/>
        <item x="4"/>
        <item x="17"/>
        <item x="15"/>
        <item x="0"/>
        <item x="7"/>
        <item x="16"/>
        <item x="6"/>
        <item x="13"/>
        <item x="2"/>
        <item x="1"/>
        <item x="10"/>
        <item x="9"/>
        <item x="5"/>
        <item x="3"/>
        <item t="default"/>
      </items>
    </pivotField>
    <pivotField showAll="0">
      <items count="7">
        <item x="2"/>
        <item x="3"/>
        <item x="0"/>
        <item x="1"/>
        <item x="4"/>
        <item x="5"/>
        <item t="default"/>
      </items>
    </pivotField>
    <pivotField showAll="0">
      <items count="5">
        <item x="3"/>
        <item x="0"/>
        <item x="2"/>
        <item x="1"/>
        <item t="default"/>
      </items>
    </pivotField>
    <pivotField numFmtId="2"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4" showAll="0"/>
    <pivotField showAll="0">
      <items count="15">
        <item x="0"/>
        <item x="1"/>
        <item x="2"/>
        <item x="3"/>
        <item x="4"/>
        <item x="5"/>
        <item x="6"/>
        <item x="7"/>
        <item x="8"/>
        <item x="9"/>
        <item x="10"/>
        <item x="11"/>
        <item x="12"/>
        <item x="13"/>
        <item t="default"/>
      </items>
    </pivotField>
  </pivotFields>
  <rowFields count="1">
    <field x="1"/>
  </rowFields>
  <rowItems count="6">
    <i>
      <x v="12"/>
    </i>
    <i>
      <x v="10"/>
    </i>
    <i>
      <x v="1"/>
    </i>
    <i>
      <x v="18"/>
    </i>
    <i>
      <x/>
    </i>
    <i t="grand">
      <x/>
    </i>
  </rowItems>
  <colItems count="1">
    <i/>
  </colItems>
  <dataFields count="1">
    <dataField name="Sum of revenue" fld="8" baseField="4" baseItem="1"/>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5CDBBF-853C-4C99-982B-2F863384A898}" name="PivotTable8"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71:B76" firstHeaderRow="1" firstDataRow="1" firstDataCol="1"/>
  <pivotFields count="10">
    <pivotField showAll="0"/>
    <pivotField showAll="0"/>
    <pivotField showAll="0">
      <items count="21">
        <item x="18"/>
        <item x="8"/>
        <item x="14"/>
        <item x="19"/>
        <item x="12"/>
        <item x="11"/>
        <item x="4"/>
        <item x="17"/>
        <item x="15"/>
        <item x="0"/>
        <item x="7"/>
        <item x="16"/>
        <item x="6"/>
        <item x="13"/>
        <item x="2"/>
        <item x="1"/>
        <item x="10"/>
        <item x="9"/>
        <item x="5"/>
        <item x="3"/>
        <item t="default"/>
      </items>
    </pivotField>
    <pivotField showAll="0">
      <items count="7">
        <item x="2"/>
        <item x="3"/>
        <item x="0"/>
        <item x="1"/>
        <item x="4"/>
        <item x="5"/>
        <item t="default"/>
      </items>
    </pivotField>
    <pivotField axis="axisRow" showAll="0">
      <items count="5">
        <item x="3"/>
        <item x="0"/>
        <item x="2"/>
        <item x="1"/>
        <item t="default"/>
      </items>
    </pivotField>
    <pivotField numFmtId="2"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4"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8" showDataAs="percentOfTotal" baseField="4" baseItem="1" numFmtId="1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1632C4-2FB8-43E4-9DA9-0DE2F4F8A6DB}"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A9" firstHeaderRow="1" firstDataRow="1" firstDataCol="0"/>
  <pivotFields count="10">
    <pivotField showAll="0"/>
    <pivotField dataField="1" showAll="0"/>
    <pivotField showAll="0">
      <items count="21">
        <item x="18"/>
        <item x="8"/>
        <item x="14"/>
        <item x="19"/>
        <item x="12"/>
        <item x="11"/>
        <item x="4"/>
        <item x="17"/>
        <item x="15"/>
        <item x="0"/>
        <item x="7"/>
        <item x="16"/>
        <item x="6"/>
        <item x="13"/>
        <item x="2"/>
        <item x="1"/>
        <item x="10"/>
        <item x="9"/>
        <item x="5"/>
        <item x="3"/>
        <item t="default"/>
      </items>
    </pivotField>
    <pivotField showAll="0">
      <items count="7">
        <item x="2"/>
        <item x="3"/>
        <item x="0"/>
        <item x="1"/>
        <item x="4"/>
        <item x="5"/>
        <item t="default"/>
      </items>
    </pivotField>
    <pivotField showAll="0">
      <items count="5">
        <item x="3"/>
        <item x="0"/>
        <item x="2"/>
        <item x="1"/>
        <item t="default"/>
      </items>
    </pivotField>
    <pivotField numFmtId="2"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C976C9-F1EF-4969-9005-63F27339FEFD}" name="PivotTable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9:B60" firstHeaderRow="1" firstDataRow="1" firstDataCol="1"/>
  <pivotFields count="10">
    <pivotField showAll="0"/>
    <pivotField showAll="0"/>
    <pivotField axis="axisRow" showAll="0">
      <items count="21">
        <item x="18"/>
        <item x="8"/>
        <item x="14"/>
        <item x="19"/>
        <item x="12"/>
        <item x="11"/>
        <item x="4"/>
        <item x="17"/>
        <item x="15"/>
        <item x="0"/>
        <item x="7"/>
        <item x="16"/>
        <item x="6"/>
        <item x="13"/>
        <item x="2"/>
        <item x="1"/>
        <item x="10"/>
        <item x="9"/>
        <item x="5"/>
        <item x="3"/>
        <item t="default"/>
      </items>
    </pivotField>
    <pivotField showAll="0">
      <items count="7">
        <item x="2"/>
        <item x="3"/>
        <item x="0"/>
        <item x="1"/>
        <item x="4"/>
        <item x="5"/>
        <item t="default"/>
      </items>
    </pivotField>
    <pivotField showAll="0">
      <items count="5">
        <item x="3"/>
        <item x="0"/>
        <item x="2"/>
        <item x="1"/>
        <item t="default"/>
      </items>
    </pivotField>
    <pivotField numFmtId="2"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4" showAll="0"/>
    <pivotField showAll="0">
      <items count="15">
        <item x="0"/>
        <item x="1"/>
        <item x="2"/>
        <item x="3"/>
        <item x="4"/>
        <item x="5"/>
        <item x="6"/>
        <item x="7"/>
        <item x="8"/>
        <item x="9"/>
        <item x="10"/>
        <item x="11"/>
        <item x="12"/>
        <item x="13"/>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C17098-3CBF-42A2-B6CE-5EBEC092608D}"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5:A26" firstHeaderRow="1" firstDataRow="1" firstDataCol="0"/>
  <pivotFields count="10">
    <pivotField dataField="1" showAll="0"/>
    <pivotField showAll="0"/>
    <pivotField showAll="0">
      <items count="21">
        <item x="18"/>
        <item x="8"/>
        <item x="14"/>
        <item x="19"/>
        <item x="12"/>
        <item x="11"/>
        <item x="4"/>
        <item x="17"/>
        <item x="15"/>
        <item x="0"/>
        <item x="7"/>
        <item x="16"/>
        <item x="6"/>
        <item x="13"/>
        <item x="2"/>
        <item x="1"/>
        <item x="10"/>
        <item x="9"/>
        <item x="5"/>
        <item x="3"/>
        <item t="default"/>
      </items>
    </pivotField>
    <pivotField showAll="0">
      <items count="7">
        <item x="2"/>
        <item x="3"/>
        <item x="0"/>
        <item x="1"/>
        <item x="4"/>
        <item x="5"/>
        <item t="default"/>
      </items>
    </pivotField>
    <pivotField showAll="0">
      <items count="5">
        <item x="3"/>
        <item x="0"/>
        <item x="2"/>
        <item x="1"/>
        <item t="default"/>
      </items>
    </pivotField>
    <pivotField numFmtId="2"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F49276-4181-4228-8FF7-25F5659A7B23}"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0">
    <pivotField showAll="0"/>
    <pivotField showAll="0"/>
    <pivotField showAll="0">
      <items count="21">
        <item x="18"/>
        <item x="8"/>
        <item x="14"/>
        <item x="19"/>
        <item x="12"/>
        <item x="11"/>
        <item x="4"/>
        <item x="17"/>
        <item x="15"/>
        <item x="0"/>
        <item x="7"/>
        <item x="16"/>
        <item x="6"/>
        <item x="13"/>
        <item x="2"/>
        <item x="1"/>
        <item x="10"/>
        <item x="9"/>
        <item x="5"/>
        <item x="3"/>
        <item t="default"/>
      </items>
    </pivotField>
    <pivotField showAll="0">
      <items count="7">
        <item x="2"/>
        <item x="3"/>
        <item x="0"/>
        <item x="1"/>
        <item x="4"/>
        <item x="5"/>
        <item t="default"/>
      </items>
    </pivotField>
    <pivotField showAll="0">
      <items count="5">
        <item x="3"/>
        <item x="0"/>
        <item x="2"/>
        <item x="1"/>
        <item t="default"/>
      </items>
    </pivotField>
    <pivotField numFmtId="2"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22733BD-4B93-47CB-92A5-13469B0A7A7B}" sourceName="product">
  <pivotTables>
    <pivotTable tabId="7" name="PivotTable4"/>
    <pivotTable tabId="7" name="PivotTable5"/>
    <pivotTable tabId="7" name="PivotTable6"/>
    <pivotTable tabId="7" name="PivotTable7"/>
    <pivotTable tabId="7" name="PivotTable8"/>
    <pivotTable tabId="7" name="PivotTable9"/>
    <pivotTable tabId="7" name="PivotTable10"/>
  </pivotTables>
  <data>
    <tabular pivotCacheId="570106978">
      <items count="20">
        <i x="18" s="1"/>
        <i x="8" s="1"/>
        <i x="14" s="1"/>
        <i x="19" s="1"/>
        <i x="12" s="1"/>
        <i x="11" s="1"/>
        <i x="4" s="1"/>
        <i x="17" s="1"/>
        <i x="15" s="1"/>
        <i x="0" s="1"/>
        <i x="7" s="1"/>
        <i x="16" s="1"/>
        <i x="6" s="1"/>
        <i x="13" s="1"/>
        <i x="2" s="1"/>
        <i x="1" s="1"/>
        <i x="10" s="1"/>
        <i x="9"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C8F18F1-DDD7-42A3-B84F-4C1A5887FF24}" sourceName="category">
  <pivotTables>
    <pivotTable tabId="7" name="PivotTable4"/>
    <pivotTable tabId="7" name="PivotTable5"/>
    <pivotTable tabId="7" name="PivotTable6"/>
    <pivotTable tabId="7" name="PivotTable7"/>
    <pivotTable tabId="7" name="PivotTable8"/>
    <pivotTable tabId="7" name="PivotTable9"/>
    <pivotTable tabId="7" name="PivotTable10"/>
  </pivotTables>
  <data>
    <tabular pivotCacheId="570106978">
      <items count="6">
        <i x="2" s="1"/>
        <i x="3" s="1"/>
        <i x="0"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0BA244A-0A6B-40C3-9E0B-0EE069CA0B69}" sourceName="region">
  <pivotTables>
    <pivotTable tabId="7" name="PivotTable4"/>
    <pivotTable tabId="7" name="PivotTable5"/>
    <pivotTable tabId="7" name="PivotTable6"/>
    <pivotTable tabId="7" name="PivotTable7"/>
    <pivotTable tabId="7" name="PivotTable8"/>
    <pivotTable tabId="7" name="PivotTable9"/>
    <pivotTable tabId="7" name="PivotTable10"/>
  </pivotTables>
  <data>
    <tabular pivotCacheId="57010697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5774F84A-4E13-4F21-B769-FCE87514ADE8}" cache="Slicer_product1" caption="product" columnCount="10" rowHeight="180000"/>
  <slicer name="category 1" xr10:uid="{AC0CD472-B85C-4DBB-9B4A-0188F605530A}" cache="Slicer_category1" caption="category" columnCount="6" rowHeight="241300"/>
  <slicer name="region 2" xr10:uid="{36E67EDD-4379-4FBB-ABEC-6020A0A0B144}" cache="Slicer_region1" caption="region" columnCount="2"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228CAE5-C2DE-430E-8399-DE26DB569169}" cache="Slicer_product1" caption="product" columnCount="10" rowHeight="241300"/>
  <slicer name="category" xr10:uid="{8E533EDC-0420-41D4-9368-3276365E125D}" cache="Slicer_category1" caption="category" columnCount="6" rowHeight="241300"/>
  <slicer name="region" xr10:uid="{81432311-96CD-4B5C-AAD4-A02DC9CA8470}" cache="Slicer_region1" caption="region" columnCount="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14C7-CEFB-4084-90AC-A90E8927BCE5}">
  <dimension ref="A1"/>
  <sheetViews>
    <sheetView tabSelected="1" zoomScale="108" zoomScaleNormal="108"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6C98-9317-4E4B-8873-F79452A9B8E8}">
  <dimension ref="A1"/>
  <sheetViews>
    <sheetView zoomScale="108" zoomScaleNormal="108"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3546-17F5-43F1-B805-0DD8D03B662E}">
  <dimension ref="A1"/>
  <sheetViews>
    <sheetView zoomScale="108" zoomScaleNormal="108"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6B87-4077-4396-BA78-13F9A338B036}">
  <dimension ref="A1"/>
  <sheetViews>
    <sheetView zoomScale="108" zoomScaleNormal="108"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73AFA-D3AC-4D26-A7A4-B4D50D111224}">
  <dimension ref="A1"/>
  <sheetViews>
    <sheetView zoomScale="108" zoomScaleNormal="108"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FCA5-1B0D-4963-AB7A-D1439BF1368E}">
  <dimension ref="A1:W21"/>
  <sheetViews>
    <sheetView zoomScale="99" workbookViewId="0">
      <selection sqref="A1:I21"/>
    </sheetView>
  </sheetViews>
  <sheetFormatPr defaultRowHeight="14.5" x14ac:dyDescent="0.35"/>
  <cols>
    <col min="1" max="1" width="8" bestFit="1" customWidth="1"/>
    <col min="2" max="2" width="11.1796875" bestFit="1" customWidth="1"/>
    <col min="3" max="3" width="13.54296875" bestFit="1" customWidth="1"/>
    <col min="4" max="4" width="10.36328125" bestFit="1" customWidth="1"/>
    <col min="6" max="6" width="8.7265625" style="5"/>
    <col min="7" max="7" width="8.7265625" style="7"/>
    <col min="8" max="8" width="10.1796875" style="1" bestFit="1" customWidth="1"/>
    <col min="9" max="9" width="13.6328125" style="9" bestFit="1" customWidth="1"/>
    <col min="10" max="10" width="11.1796875" bestFit="1" customWidth="1"/>
    <col min="11" max="11" width="14.453125" bestFit="1" customWidth="1"/>
    <col min="12" max="12" width="12.26953125" bestFit="1" customWidth="1"/>
    <col min="14" max="14" width="13.54296875" bestFit="1" customWidth="1"/>
    <col min="15" max="15" width="10.36328125" bestFit="1" customWidth="1"/>
    <col min="16" max="16" width="9.26953125" bestFit="1" customWidth="1"/>
    <col min="17" max="17" width="11.1796875" bestFit="1" customWidth="1"/>
    <col min="18" max="18" width="14.453125" bestFit="1" customWidth="1"/>
    <col min="19" max="19" width="12.26953125" bestFit="1" customWidth="1"/>
    <col min="21" max="21" width="13.54296875" bestFit="1" customWidth="1"/>
    <col min="22" max="22" width="10.36328125" bestFit="1" customWidth="1"/>
    <col min="23" max="23" width="9.26953125" bestFit="1" customWidth="1"/>
  </cols>
  <sheetData>
    <row r="1" spans="1:23" s="2" customFormat="1" x14ac:dyDescent="0.35">
      <c r="A1" s="2" t="s">
        <v>0</v>
      </c>
      <c r="B1" s="2" t="s">
        <v>1</v>
      </c>
      <c r="C1" s="2" t="s">
        <v>2</v>
      </c>
      <c r="D1" s="2" t="s">
        <v>3</v>
      </c>
      <c r="E1" s="2" t="s">
        <v>4</v>
      </c>
      <c r="F1" s="4" t="s">
        <v>5</v>
      </c>
      <c r="G1" s="6" t="s">
        <v>6</v>
      </c>
      <c r="H1" s="3" t="s">
        <v>7</v>
      </c>
      <c r="I1" s="8" t="s">
        <v>101</v>
      </c>
      <c r="Q1" s="2" t="s">
        <v>1</v>
      </c>
      <c r="R1" s="2" t="s">
        <v>58</v>
      </c>
      <c r="S1" s="2" t="s">
        <v>59</v>
      </c>
      <c r="U1" s="2" t="s">
        <v>2</v>
      </c>
      <c r="V1" s="2" t="s">
        <v>3</v>
      </c>
      <c r="W1" s="2" t="s">
        <v>100</v>
      </c>
    </row>
    <row r="2" spans="1:23" x14ac:dyDescent="0.35">
      <c r="A2">
        <v>1001</v>
      </c>
      <c r="B2" t="s">
        <v>8</v>
      </c>
      <c r="C2" t="s">
        <v>9</v>
      </c>
      <c r="D2" t="s">
        <v>10</v>
      </c>
      <c r="E2" t="s">
        <v>11</v>
      </c>
      <c r="F2" s="5">
        <v>55000</v>
      </c>
      <c r="G2" s="7">
        <v>1</v>
      </c>
      <c r="H2" s="1">
        <v>45296</v>
      </c>
      <c r="I2" s="9">
        <f>F2*G2</f>
        <v>55000</v>
      </c>
      <c r="Q2" t="s">
        <v>8</v>
      </c>
      <c r="R2" t="s">
        <v>60</v>
      </c>
      <c r="S2" t="s">
        <v>61</v>
      </c>
      <c r="U2" t="s">
        <v>9</v>
      </c>
      <c r="V2" t="s">
        <v>10</v>
      </c>
      <c r="W2">
        <v>48000</v>
      </c>
    </row>
    <row r="3" spans="1:23" x14ac:dyDescent="0.35">
      <c r="A3">
        <v>1002</v>
      </c>
      <c r="B3" t="s">
        <v>12</v>
      </c>
      <c r="C3" t="s">
        <v>13</v>
      </c>
      <c r="D3" t="s">
        <v>10</v>
      </c>
      <c r="E3" t="s">
        <v>14</v>
      </c>
      <c r="F3" s="5">
        <v>20000</v>
      </c>
      <c r="G3" s="7">
        <v>2</v>
      </c>
      <c r="H3" s="1">
        <v>45298</v>
      </c>
      <c r="I3" s="9">
        <f t="shared" ref="I3:I21" si="0">F3*G3</f>
        <v>40000</v>
      </c>
      <c r="Q3" t="s">
        <v>12</v>
      </c>
      <c r="R3" t="s">
        <v>62</v>
      </c>
      <c r="S3" t="s">
        <v>63</v>
      </c>
      <c r="U3" t="s">
        <v>13</v>
      </c>
      <c r="V3" t="s">
        <v>10</v>
      </c>
      <c r="W3">
        <v>15000</v>
      </c>
    </row>
    <row r="4" spans="1:23" x14ac:dyDescent="0.35">
      <c r="A4">
        <v>1003</v>
      </c>
      <c r="B4" t="s">
        <v>15</v>
      </c>
      <c r="C4" t="s">
        <v>16</v>
      </c>
      <c r="D4" t="s">
        <v>17</v>
      </c>
      <c r="E4" t="s">
        <v>18</v>
      </c>
      <c r="F4" s="5">
        <v>2500</v>
      </c>
      <c r="G4" s="7">
        <v>3</v>
      </c>
      <c r="H4" s="1">
        <v>45301</v>
      </c>
      <c r="I4" s="9">
        <f t="shared" si="0"/>
        <v>7500</v>
      </c>
      <c r="Q4" t="s">
        <v>15</v>
      </c>
      <c r="R4" t="s">
        <v>64</v>
      </c>
      <c r="S4" t="s">
        <v>65</v>
      </c>
      <c r="U4" t="s">
        <v>16</v>
      </c>
      <c r="V4" t="s">
        <v>17</v>
      </c>
      <c r="W4">
        <v>1500</v>
      </c>
    </row>
    <row r="5" spans="1:23" x14ac:dyDescent="0.35">
      <c r="A5">
        <v>1004</v>
      </c>
      <c r="B5" t="s">
        <v>19</v>
      </c>
      <c r="C5" t="s">
        <v>20</v>
      </c>
      <c r="D5" t="s">
        <v>21</v>
      </c>
      <c r="E5" t="s">
        <v>22</v>
      </c>
      <c r="F5" s="5">
        <v>4500</v>
      </c>
      <c r="G5" s="7">
        <v>1</v>
      </c>
      <c r="H5" s="1">
        <v>45303</v>
      </c>
      <c r="I5" s="9">
        <f t="shared" si="0"/>
        <v>4500</v>
      </c>
      <c r="Q5" t="s">
        <v>19</v>
      </c>
      <c r="R5" t="s">
        <v>66</v>
      </c>
      <c r="S5" t="s">
        <v>67</v>
      </c>
      <c r="U5" t="s">
        <v>20</v>
      </c>
      <c r="V5" t="s">
        <v>21</v>
      </c>
      <c r="W5">
        <v>2500</v>
      </c>
    </row>
    <row r="6" spans="1:23" x14ac:dyDescent="0.35">
      <c r="A6">
        <v>1005</v>
      </c>
      <c r="B6" t="s">
        <v>23</v>
      </c>
      <c r="C6" t="s">
        <v>24</v>
      </c>
      <c r="D6" t="s">
        <v>10</v>
      </c>
      <c r="E6" t="s">
        <v>11</v>
      </c>
      <c r="F6" s="5">
        <v>1500</v>
      </c>
      <c r="G6" s="7">
        <v>2</v>
      </c>
      <c r="H6" s="1">
        <v>45306</v>
      </c>
      <c r="I6" s="9">
        <f t="shared" si="0"/>
        <v>3000</v>
      </c>
      <c r="Q6" t="s">
        <v>23</v>
      </c>
      <c r="R6" t="s">
        <v>68</v>
      </c>
      <c r="S6" t="s">
        <v>69</v>
      </c>
      <c r="U6" t="s">
        <v>24</v>
      </c>
      <c r="V6" t="s">
        <v>10</v>
      </c>
      <c r="W6">
        <v>900</v>
      </c>
    </row>
    <row r="7" spans="1:23" x14ac:dyDescent="0.35">
      <c r="A7">
        <v>1006</v>
      </c>
      <c r="B7" t="s">
        <v>25</v>
      </c>
      <c r="C7" t="s">
        <v>26</v>
      </c>
      <c r="D7" t="s">
        <v>17</v>
      </c>
      <c r="E7" t="s">
        <v>14</v>
      </c>
      <c r="F7" s="5">
        <v>800</v>
      </c>
      <c r="G7" s="7">
        <v>4</v>
      </c>
      <c r="H7" s="1">
        <v>45309</v>
      </c>
      <c r="I7" s="9">
        <f t="shared" si="0"/>
        <v>3200</v>
      </c>
      <c r="Q7" t="s">
        <v>25</v>
      </c>
      <c r="R7" t="s">
        <v>70</v>
      </c>
      <c r="S7" t="s">
        <v>71</v>
      </c>
      <c r="U7" t="s">
        <v>26</v>
      </c>
      <c r="V7" t="s">
        <v>17</v>
      </c>
      <c r="W7">
        <v>400</v>
      </c>
    </row>
    <row r="8" spans="1:23" x14ac:dyDescent="0.35">
      <c r="A8">
        <v>1007</v>
      </c>
      <c r="B8" t="s">
        <v>27</v>
      </c>
      <c r="C8" t="s">
        <v>28</v>
      </c>
      <c r="D8" t="s">
        <v>29</v>
      </c>
      <c r="E8" t="s">
        <v>18</v>
      </c>
      <c r="F8" s="5">
        <v>30000</v>
      </c>
      <c r="G8" s="7">
        <v>1</v>
      </c>
      <c r="H8" s="1">
        <v>45311</v>
      </c>
      <c r="I8" s="9">
        <f t="shared" si="0"/>
        <v>30000</v>
      </c>
      <c r="Q8" t="s">
        <v>27</v>
      </c>
      <c r="R8" t="s">
        <v>72</v>
      </c>
      <c r="S8" t="s">
        <v>73</v>
      </c>
      <c r="U8" t="s">
        <v>28</v>
      </c>
      <c r="V8" t="s">
        <v>29</v>
      </c>
      <c r="W8">
        <v>25000</v>
      </c>
    </row>
    <row r="9" spans="1:23" x14ac:dyDescent="0.35">
      <c r="A9">
        <v>1008</v>
      </c>
      <c r="B9" t="s">
        <v>30</v>
      </c>
      <c r="C9" t="s">
        <v>31</v>
      </c>
      <c r="D9" t="s">
        <v>29</v>
      </c>
      <c r="E9" t="s">
        <v>22</v>
      </c>
      <c r="F9" s="5">
        <v>12000</v>
      </c>
      <c r="G9" s="7">
        <v>1</v>
      </c>
      <c r="H9" s="1">
        <v>45313</v>
      </c>
      <c r="I9" s="9">
        <f t="shared" si="0"/>
        <v>12000</v>
      </c>
      <c r="Q9" t="s">
        <v>30</v>
      </c>
      <c r="R9" t="s">
        <v>74</v>
      </c>
      <c r="S9" t="s">
        <v>75</v>
      </c>
      <c r="U9" t="s">
        <v>31</v>
      </c>
      <c r="V9" t="s">
        <v>29</v>
      </c>
      <c r="W9">
        <v>8000</v>
      </c>
    </row>
    <row r="10" spans="1:23" x14ac:dyDescent="0.35">
      <c r="A10">
        <v>1009</v>
      </c>
      <c r="B10" t="s">
        <v>32</v>
      </c>
      <c r="C10" t="s">
        <v>33</v>
      </c>
      <c r="D10" t="s">
        <v>21</v>
      </c>
      <c r="E10" t="s">
        <v>11</v>
      </c>
      <c r="F10" s="5">
        <v>1800</v>
      </c>
      <c r="G10" s="7">
        <v>2</v>
      </c>
      <c r="H10" s="1">
        <v>45316</v>
      </c>
      <c r="I10" s="9">
        <f t="shared" si="0"/>
        <v>3600</v>
      </c>
      <c r="Q10" t="s">
        <v>32</v>
      </c>
      <c r="R10" t="s">
        <v>76</v>
      </c>
      <c r="S10" t="s">
        <v>77</v>
      </c>
      <c r="U10" t="s">
        <v>33</v>
      </c>
      <c r="V10" t="s">
        <v>21</v>
      </c>
      <c r="W10">
        <v>900</v>
      </c>
    </row>
    <row r="11" spans="1:23" x14ac:dyDescent="0.35">
      <c r="A11">
        <v>1010</v>
      </c>
      <c r="B11" t="s">
        <v>34</v>
      </c>
      <c r="C11" t="s">
        <v>35</v>
      </c>
      <c r="D11" t="s">
        <v>10</v>
      </c>
      <c r="E11" t="s">
        <v>14</v>
      </c>
      <c r="F11" s="5">
        <v>25000</v>
      </c>
      <c r="G11" s="7">
        <v>1</v>
      </c>
      <c r="H11" s="1">
        <v>45319</v>
      </c>
      <c r="I11" s="9">
        <f t="shared" si="0"/>
        <v>25000</v>
      </c>
      <c r="Q11" t="s">
        <v>34</v>
      </c>
      <c r="R11" t="s">
        <v>78</v>
      </c>
      <c r="S11" t="s">
        <v>79</v>
      </c>
      <c r="U11" t="s">
        <v>35</v>
      </c>
      <c r="V11" t="s">
        <v>10</v>
      </c>
      <c r="W11">
        <v>18000</v>
      </c>
    </row>
    <row r="12" spans="1:23" x14ac:dyDescent="0.35">
      <c r="A12">
        <v>1011</v>
      </c>
      <c r="B12" t="s">
        <v>36</v>
      </c>
      <c r="C12" t="s">
        <v>37</v>
      </c>
      <c r="D12" t="s">
        <v>38</v>
      </c>
      <c r="E12" t="s">
        <v>18</v>
      </c>
      <c r="F12" s="5">
        <v>40000</v>
      </c>
      <c r="G12" s="7">
        <v>1</v>
      </c>
      <c r="H12" s="1">
        <v>45324</v>
      </c>
      <c r="I12" s="9">
        <f t="shared" si="0"/>
        <v>40000</v>
      </c>
      <c r="Q12" t="s">
        <v>36</v>
      </c>
      <c r="R12" t="s">
        <v>80</v>
      </c>
      <c r="S12" t="s">
        <v>81</v>
      </c>
      <c r="U12" t="s">
        <v>37</v>
      </c>
      <c r="V12" t="s">
        <v>38</v>
      </c>
      <c r="W12">
        <v>30000</v>
      </c>
    </row>
    <row r="13" spans="1:23" x14ac:dyDescent="0.35">
      <c r="A13">
        <v>1012</v>
      </c>
      <c r="B13" t="s">
        <v>39</v>
      </c>
      <c r="C13" t="s">
        <v>40</v>
      </c>
      <c r="D13" t="s">
        <v>38</v>
      </c>
      <c r="E13" t="s">
        <v>22</v>
      </c>
      <c r="F13" s="5">
        <v>7000</v>
      </c>
      <c r="G13" s="7">
        <v>1</v>
      </c>
      <c r="H13" s="1">
        <v>45327</v>
      </c>
      <c r="I13" s="9">
        <f t="shared" si="0"/>
        <v>7000</v>
      </c>
      <c r="Q13" t="s">
        <v>39</v>
      </c>
      <c r="R13" t="s">
        <v>82</v>
      </c>
      <c r="S13" t="s">
        <v>83</v>
      </c>
      <c r="U13" t="s">
        <v>40</v>
      </c>
      <c r="V13" t="s">
        <v>38</v>
      </c>
      <c r="W13">
        <v>5000</v>
      </c>
    </row>
    <row r="14" spans="1:23" x14ac:dyDescent="0.35">
      <c r="A14">
        <v>1013</v>
      </c>
      <c r="B14" t="s">
        <v>41</v>
      </c>
      <c r="C14" t="s">
        <v>42</v>
      </c>
      <c r="D14" t="s">
        <v>10</v>
      </c>
      <c r="E14" t="s">
        <v>11</v>
      </c>
      <c r="F14" s="5">
        <v>35000</v>
      </c>
      <c r="G14" s="7">
        <v>1</v>
      </c>
      <c r="H14" s="1">
        <v>45330</v>
      </c>
      <c r="I14" s="9">
        <f t="shared" si="0"/>
        <v>35000</v>
      </c>
      <c r="Q14" t="s">
        <v>41</v>
      </c>
      <c r="R14" t="s">
        <v>84</v>
      </c>
      <c r="S14" t="s">
        <v>85</v>
      </c>
      <c r="U14" t="s">
        <v>42</v>
      </c>
      <c r="V14" t="s">
        <v>10</v>
      </c>
      <c r="W14">
        <v>28000</v>
      </c>
    </row>
    <row r="15" spans="1:23" x14ac:dyDescent="0.35">
      <c r="A15">
        <v>1014</v>
      </c>
      <c r="B15" t="s">
        <v>43</v>
      </c>
      <c r="C15" t="s">
        <v>44</v>
      </c>
      <c r="D15" t="s">
        <v>17</v>
      </c>
      <c r="E15" t="s">
        <v>14</v>
      </c>
      <c r="F15" s="5">
        <v>1200</v>
      </c>
      <c r="G15" s="7">
        <v>2</v>
      </c>
      <c r="H15" s="1">
        <v>45332</v>
      </c>
      <c r="I15" s="9">
        <f t="shared" si="0"/>
        <v>2400</v>
      </c>
      <c r="Q15" t="s">
        <v>43</v>
      </c>
      <c r="R15" t="s">
        <v>86</v>
      </c>
      <c r="S15" t="s">
        <v>87</v>
      </c>
      <c r="U15" t="s">
        <v>44</v>
      </c>
      <c r="V15" t="s">
        <v>17</v>
      </c>
      <c r="W15">
        <v>700</v>
      </c>
    </row>
    <row r="16" spans="1:23" x14ac:dyDescent="0.35">
      <c r="A16">
        <v>1015</v>
      </c>
      <c r="B16" t="s">
        <v>45</v>
      </c>
      <c r="C16" t="s">
        <v>46</v>
      </c>
      <c r="D16" t="s">
        <v>29</v>
      </c>
      <c r="E16" t="s">
        <v>18</v>
      </c>
      <c r="F16" s="5">
        <v>3000</v>
      </c>
      <c r="G16" s="7">
        <v>1</v>
      </c>
      <c r="H16" s="1">
        <v>45334</v>
      </c>
      <c r="I16" s="9">
        <f t="shared" si="0"/>
        <v>3000</v>
      </c>
      <c r="Q16" t="s">
        <v>45</v>
      </c>
      <c r="R16" t="s">
        <v>88</v>
      </c>
      <c r="S16" t="s">
        <v>89</v>
      </c>
      <c r="U16" t="s">
        <v>46</v>
      </c>
      <c r="V16" t="s">
        <v>29</v>
      </c>
      <c r="W16">
        <v>1800</v>
      </c>
    </row>
    <row r="17" spans="1:23" x14ac:dyDescent="0.35">
      <c r="A17">
        <v>1016</v>
      </c>
      <c r="B17" t="s">
        <v>47</v>
      </c>
      <c r="C17" t="s">
        <v>48</v>
      </c>
      <c r="D17" t="s">
        <v>10</v>
      </c>
      <c r="E17" t="s">
        <v>22</v>
      </c>
      <c r="F17" s="5">
        <v>1500</v>
      </c>
      <c r="G17" s="7">
        <v>3</v>
      </c>
      <c r="H17" s="1">
        <v>45337</v>
      </c>
      <c r="I17" s="9">
        <f t="shared" si="0"/>
        <v>4500</v>
      </c>
      <c r="Q17" t="s">
        <v>47</v>
      </c>
      <c r="R17" t="s">
        <v>90</v>
      </c>
      <c r="S17" t="s">
        <v>91</v>
      </c>
      <c r="U17" t="s">
        <v>48</v>
      </c>
      <c r="V17" t="s">
        <v>10</v>
      </c>
      <c r="W17">
        <v>800</v>
      </c>
    </row>
    <row r="18" spans="1:23" x14ac:dyDescent="0.35">
      <c r="A18">
        <v>1017</v>
      </c>
      <c r="B18" t="s">
        <v>49</v>
      </c>
      <c r="C18" t="s">
        <v>50</v>
      </c>
      <c r="D18" t="s">
        <v>10</v>
      </c>
      <c r="E18" t="s">
        <v>11</v>
      </c>
      <c r="F18" s="5">
        <v>700</v>
      </c>
      <c r="G18" s="7">
        <v>5</v>
      </c>
      <c r="H18" s="1">
        <v>45340</v>
      </c>
      <c r="I18" s="9">
        <f t="shared" si="0"/>
        <v>3500</v>
      </c>
      <c r="Q18" t="s">
        <v>49</v>
      </c>
      <c r="R18" t="s">
        <v>92</v>
      </c>
      <c r="S18" t="s">
        <v>93</v>
      </c>
      <c r="U18" t="s">
        <v>50</v>
      </c>
      <c r="V18" t="s">
        <v>10</v>
      </c>
      <c r="W18">
        <v>300</v>
      </c>
    </row>
    <row r="19" spans="1:23" x14ac:dyDescent="0.35">
      <c r="A19">
        <v>1018</v>
      </c>
      <c r="B19" t="s">
        <v>51</v>
      </c>
      <c r="C19" t="s">
        <v>52</v>
      </c>
      <c r="D19" t="s">
        <v>17</v>
      </c>
      <c r="E19" t="s">
        <v>14</v>
      </c>
      <c r="F19" s="5">
        <v>3500</v>
      </c>
      <c r="G19" s="7">
        <v>2</v>
      </c>
      <c r="H19" s="1">
        <v>45342</v>
      </c>
      <c r="I19" s="9">
        <f t="shared" si="0"/>
        <v>7000</v>
      </c>
      <c r="Q19" t="s">
        <v>51</v>
      </c>
      <c r="R19" t="s">
        <v>94</v>
      </c>
      <c r="S19" t="s">
        <v>95</v>
      </c>
      <c r="U19" t="s">
        <v>52</v>
      </c>
      <c r="V19" t="s">
        <v>17</v>
      </c>
      <c r="W19">
        <v>2000</v>
      </c>
    </row>
    <row r="20" spans="1:23" x14ac:dyDescent="0.35">
      <c r="A20">
        <v>1019</v>
      </c>
      <c r="B20" t="s">
        <v>53</v>
      </c>
      <c r="C20" t="s">
        <v>54</v>
      </c>
      <c r="D20" t="s">
        <v>29</v>
      </c>
      <c r="E20" t="s">
        <v>18</v>
      </c>
      <c r="F20" s="5">
        <v>45000</v>
      </c>
      <c r="G20" s="7">
        <v>1</v>
      </c>
      <c r="H20" s="1">
        <v>45347</v>
      </c>
      <c r="I20" s="9">
        <f t="shared" si="0"/>
        <v>45000</v>
      </c>
      <c r="Q20" t="s">
        <v>53</v>
      </c>
      <c r="R20" t="s">
        <v>96</v>
      </c>
      <c r="S20" t="s">
        <v>97</v>
      </c>
      <c r="U20" t="s">
        <v>54</v>
      </c>
      <c r="V20" t="s">
        <v>29</v>
      </c>
      <c r="W20">
        <v>35000</v>
      </c>
    </row>
    <row r="21" spans="1:23" x14ac:dyDescent="0.35">
      <c r="A21">
        <v>1020</v>
      </c>
      <c r="B21" t="s">
        <v>55</v>
      </c>
      <c r="C21" t="s">
        <v>56</v>
      </c>
      <c r="D21" t="s">
        <v>57</v>
      </c>
      <c r="E21" t="s">
        <v>22</v>
      </c>
      <c r="F21" s="5">
        <v>500</v>
      </c>
      <c r="G21" s="7">
        <v>6</v>
      </c>
      <c r="H21" s="1">
        <v>45350</v>
      </c>
      <c r="I21" s="9">
        <f t="shared" si="0"/>
        <v>3000</v>
      </c>
      <c r="Q21" t="s">
        <v>55</v>
      </c>
      <c r="R21" t="s">
        <v>98</v>
      </c>
      <c r="S21" t="s">
        <v>99</v>
      </c>
      <c r="U21" t="s">
        <v>56</v>
      </c>
      <c r="V21" t="s">
        <v>57</v>
      </c>
      <c r="W21">
        <v>200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433E-93CA-4E97-BDBB-D6DD51FC9FBE}">
  <dimension ref="A3:E116"/>
  <sheetViews>
    <sheetView topLeftCell="A83" zoomScaleNormal="100" workbookViewId="0">
      <selection activeCell="B102" sqref="B102"/>
    </sheetView>
  </sheetViews>
  <sheetFormatPr defaultRowHeight="14.5" x14ac:dyDescent="0.35"/>
  <cols>
    <col min="1" max="1" width="12.36328125" bestFit="1" customWidth="1"/>
    <col min="2" max="3" width="14" bestFit="1" customWidth="1"/>
  </cols>
  <sheetData>
    <row r="3" spans="1:2" x14ac:dyDescent="0.35">
      <c r="A3" t="s">
        <v>104</v>
      </c>
    </row>
    <row r="4" spans="1:2" x14ac:dyDescent="0.35">
      <c r="A4" s="12">
        <v>334200</v>
      </c>
      <c r="B4" s="13">
        <f>GETPIVOTDATA("revenue",$A$3)</f>
        <v>334200</v>
      </c>
    </row>
    <row r="8" spans="1:2" x14ac:dyDescent="0.35">
      <c r="A8" t="s">
        <v>105</v>
      </c>
    </row>
    <row r="9" spans="1:2" x14ac:dyDescent="0.35">
      <c r="A9" s="12">
        <v>20</v>
      </c>
      <c r="B9">
        <f>GETPIVOTDATA("customer_id",$A$8)</f>
        <v>20</v>
      </c>
    </row>
    <row r="25" spans="1:5" x14ac:dyDescent="0.35">
      <c r="A25" t="s">
        <v>106</v>
      </c>
    </row>
    <row r="26" spans="1:5" x14ac:dyDescent="0.35">
      <c r="A26" s="12">
        <v>20</v>
      </c>
      <c r="B26">
        <f>GETPIVOTDATA("order_id",$A$25)</f>
        <v>20</v>
      </c>
    </row>
    <row r="27" spans="1:5" x14ac:dyDescent="0.35">
      <c r="E27" s="5">
        <f>B4/B26</f>
        <v>16710</v>
      </c>
    </row>
    <row r="39" spans="1:2" x14ac:dyDescent="0.35">
      <c r="A39" s="10" t="s">
        <v>102</v>
      </c>
      <c r="B39" t="s">
        <v>104</v>
      </c>
    </row>
    <row r="40" spans="1:2" x14ac:dyDescent="0.35">
      <c r="A40" s="11" t="s">
        <v>54</v>
      </c>
      <c r="B40" s="12">
        <v>45000</v>
      </c>
    </row>
    <row r="41" spans="1:2" x14ac:dyDescent="0.35">
      <c r="A41" s="11" t="s">
        <v>33</v>
      </c>
      <c r="B41" s="12">
        <v>3600</v>
      </c>
    </row>
    <row r="42" spans="1:2" x14ac:dyDescent="0.35">
      <c r="A42" s="11" t="s">
        <v>46</v>
      </c>
      <c r="B42" s="12">
        <v>3000</v>
      </c>
    </row>
    <row r="43" spans="1:2" x14ac:dyDescent="0.35">
      <c r="A43" s="11" t="s">
        <v>56</v>
      </c>
      <c r="B43" s="12">
        <v>3000</v>
      </c>
    </row>
    <row r="44" spans="1:2" x14ac:dyDescent="0.35">
      <c r="A44" s="11" t="s">
        <v>42</v>
      </c>
      <c r="B44" s="12">
        <v>35000</v>
      </c>
    </row>
    <row r="45" spans="1:2" x14ac:dyDescent="0.35">
      <c r="A45" s="11" t="s">
        <v>40</v>
      </c>
      <c r="B45" s="12">
        <v>7000</v>
      </c>
    </row>
    <row r="46" spans="1:2" x14ac:dyDescent="0.35">
      <c r="A46" s="11" t="s">
        <v>24</v>
      </c>
      <c r="B46" s="12">
        <v>3000</v>
      </c>
    </row>
    <row r="47" spans="1:2" x14ac:dyDescent="0.35">
      <c r="A47" s="11" t="s">
        <v>52</v>
      </c>
      <c r="B47" s="12">
        <v>7000</v>
      </c>
    </row>
    <row r="48" spans="1:2" x14ac:dyDescent="0.35">
      <c r="A48" s="11" t="s">
        <v>48</v>
      </c>
      <c r="B48" s="12">
        <v>4500</v>
      </c>
    </row>
    <row r="49" spans="1:2" x14ac:dyDescent="0.35">
      <c r="A49" s="11" t="s">
        <v>9</v>
      </c>
      <c r="B49" s="12">
        <v>55000</v>
      </c>
    </row>
    <row r="50" spans="1:2" x14ac:dyDescent="0.35">
      <c r="A50" s="11" t="s">
        <v>31</v>
      </c>
      <c r="B50" s="12">
        <v>12000</v>
      </c>
    </row>
    <row r="51" spans="1:2" x14ac:dyDescent="0.35">
      <c r="A51" s="11" t="s">
        <v>50</v>
      </c>
      <c r="B51" s="12">
        <v>3500</v>
      </c>
    </row>
    <row r="52" spans="1:2" x14ac:dyDescent="0.35">
      <c r="A52" s="11" t="s">
        <v>28</v>
      </c>
      <c r="B52" s="12">
        <v>30000</v>
      </c>
    </row>
    <row r="53" spans="1:2" x14ac:dyDescent="0.35">
      <c r="A53" s="11" t="s">
        <v>44</v>
      </c>
      <c r="B53" s="12">
        <v>2400</v>
      </c>
    </row>
    <row r="54" spans="1:2" x14ac:dyDescent="0.35">
      <c r="A54" s="11" t="s">
        <v>16</v>
      </c>
      <c r="B54" s="12">
        <v>7500</v>
      </c>
    </row>
    <row r="55" spans="1:2" x14ac:dyDescent="0.35">
      <c r="A55" s="11" t="s">
        <v>13</v>
      </c>
      <c r="B55" s="12">
        <v>40000</v>
      </c>
    </row>
    <row r="56" spans="1:2" x14ac:dyDescent="0.35">
      <c r="A56" s="11" t="s">
        <v>37</v>
      </c>
      <c r="B56" s="12">
        <v>40000</v>
      </c>
    </row>
    <row r="57" spans="1:2" x14ac:dyDescent="0.35">
      <c r="A57" s="11" t="s">
        <v>35</v>
      </c>
      <c r="B57" s="12">
        <v>25000</v>
      </c>
    </row>
    <row r="58" spans="1:2" x14ac:dyDescent="0.35">
      <c r="A58" s="11" t="s">
        <v>26</v>
      </c>
      <c r="B58" s="12">
        <v>3200</v>
      </c>
    </row>
    <row r="59" spans="1:2" x14ac:dyDescent="0.35">
      <c r="A59" s="11" t="s">
        <v>20</v>
      </c>
      <c r="B59" s="12">
        <v>4500</v>
      </c>
    </row>
    <row r="60" spans="1:2" x14ac:dyDescent="0.35">
      <c r="A60" s="11" t="s">
        <v>103</v>
      </c>
      <c r="B60" s="12">
        <v>334200</v>
      </c>
    </row>
    <row r="71" spans="1:2" x14ac:dyDescent="0.35">
      <c r="A71" s="10" t="s">
        <v>102</v>
      </c>
      <c r="B71" t="s">
        <v>104</v>
      </c>
    </row>
    <row r="72" spans="1:2" x14ac:dyDescent="0.35">
      <c r="A72" s="11" t="s">
        <v>22</v>
      </c>
      <c r="B72" s="14">
        <v>9.2758827049670853E-2</v>
      </c>
    </row>
    <row r="73" spans="1:2" x14ac:dyDescent="0.35">
      <c r="A73" s="11" t="s">
        <v>11</v>
      </c>
      <c r="B73" s="14">
        <v>0.29952124476361458</v>
      </c>
    </row>
    <row r="74" spans="1:2" x14ac:dyDescent="0.35">
      <c r="A74" s="11" t="s">
        <v>18</v>
      </c>
      <c r="B74" s="14">
        <v>0.37552363853979653</v>
      </c>
    </row>
    <row r="75" spans="1:2" x14ac:dyDescent="0.35">
      <c r="A75" s="11" t="s">
        <v>14</v>
      </c>
      <c r="B75" s="14">
        <v>0.23219628964691802</v>
      </c>
    </row>
    <row r="76" spans="1:2" x14ac:dyDescent="0.35">
      <c r="A76" s="11" t="s">
        <v>103</v>
      </c>
      <c r="B76" s="14">
        <v>1</v>
      </c>
    </row>
    <row r="89" spans="1:2" x14ac:dyDescent="0.35">
      <c r="A89" s="10" t="s">
        <v>102</v>
      </c>
      <c r="B89" t="s">
        <v>104</v>
      </c>
    </row>
    <row r="90" spans="1:2" x14ac:dyDescent="0.35">
      <c r="A90" s="11" t="s">
        <v>41</v>
      </c>
      <c r="B90" s="12">
        <v>35000</v>
      </c>
    </row>
    <row r="91" spans="1:2" x14ac:dyDescent="0.35">
      <c r="A91" s="11" t="s">
        <v>36</v>
      </c>
      <c r="B91" s="12">
        <v>40000</v>
      </c>
    </row>
    <row r="92" spans="1:2" x14ac:dyDescent="0.35">
      <c r="A92" s="11" t="s">
        <v>12</v>
      </c>
      <c r="B92" s="12">
        <v>40000</v>
      </c>
    </row>
    <row r="93" spans="1:2" x14ac:dyDescent="0.35">
      <c r="A93" s="11" t="s">
        <v>53</v>
      </c>
      <c r="B93" s="12">
        <v>45000</v>
      </c>
    </row>
    <row r="94" spans="1:2" x14ac:dyDescent="0.35">
      <c r="A94" s="11" t="s">
        <v>8</v>
      </c>
      <c r="B94" s="12">
        <v>55000</v>
      </c>
    </row>
    <row r="95" spans="1:2" x14ac:dyDescent="0.35">
      <c r="A95" s="11" t="s">
        <v>103</v>
      </c>
      <c r="B95" s="12">
        <v>215000</v>
      </c>
    </row>
    <row r="113" spans="1:2" x14ac:dyDescent="0.35">
      <c r="A113" s="10" t="s">
        <v>102</v>
      </c>
      <c r="B113" t="s">
        <v>104</v>
      </c>
    </row>
    <row r="114" spans="1:2" x14ac:dyDescent="0.35">
      <c r="A114" s="11" t="s">
        <v>107</v>
      </c>
      <c r="B114" s="12">
        <v>183800</v>
      </c>
    </row>
    <row r="115" spans="1:2" x14ac:dyDescent="0.35">
      <c r="A115" s="11" t="s">
        <v>108</v>
      </c>
      <c r="B115" s="12">
        <v>150400</v>
      </c>
    </row>
    <row r="116" spans="1:2" x14ac:dyDescent="0.35">
      <c r="A116" s="11" t="s">
        <v>103</v>
      </c>
      <c r="B116" s="12">
        <v>334200</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vt:lpstr>
      <vt:lpstr>Customer</vt:lpstr>
      <vt:lpstr>Region</vt:lpstr>
      <vt:lpstr>Product</vt:lpstr>
      <vt:lpstr>KPI'S</vt:lpstr>
      <vt:lpstr>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Dalleshwari Kothare</dc:creator>
  <cp:lastModifiedBy>Dalleshwari Kothare</cp:lastModifiedBy>
  <dcterms:created xsi:type="dcterms:W3CDTF">2026-03-30T14:21:58Z</dcterms:created>
  <dcterms:modified xsi:type="dcterms:W3CDTF">2026-04-03T18:39:34Z</dcterms:modified>
</cp:coreProperties>
</file>